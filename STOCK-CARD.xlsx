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9D30AE9-2C0A-4D9F-BF4D-9ED4EE213FF4}" xr6:coauthVersionLast="47" xr6:coauthVersionMax="47" xr10:uidLastSave="{00000000-0000-0000-0000-000000000000}"/>
  <bookViews>
    <workbookView xWindow="-108" yWindow="-108" windowWidth="23256" windowHeight="12456" firstSheet="1" activeTab="2" xr2:uid="{9AC8B290-5AE2-4B68-81D6-268192EF4C37}"/>
  </bookViews>
  <sheets>
    <sheet name="PISA_2.19.25" sheetId="1" r:id="rId1"/>
    <sheet name="44 VARIED SB" sheetId="8" r:id="rId2"/>
    <sheet name="BOOKWARE" sheetId="9" r:id="rId3"/>
    <sheet name="STRATEGICSTEPS_MATH" sheetId="6" r:id="rId4"/>
    <sheet name="STRATEGICSTEPS_READING" sheetId="2" r:id="rId5"/>
    <sheet name="_HEALTH&amp;PE 5" sheetId="4" r:id="rId6"/>
    <sheet name="READING POWER" sheetId="5" r:id="rId7"/>
    <sheet name="EPP 5" sheetId="3" r:id="rId8"/>
    <sheet name="MAKABANSA 1" sheetId="7" r:id="rId9"/>
  </sheets>
  <definedNames>
    <definedName name="_xlnm.Print_Area" localSheetId="5">'_HEALTH&amp;PE 5'!$I$1:$O$36</definedName>
    <definedName name="_xlnm.Print_Area" localSheetId="1">'44 VARIED SB'!$I$1:$O$42</definedName>
    <definedName name="_xlnm.Print_Area" localSheetId="2">BOOKWARE!$I$1:$O$27</definedName>
    <definedName name="_xlnm.Print_Area" localSheetId="7">'EPP 5'!$A$1:$G$36</definedName>
    <definedName name="_xlnm.Print_Area" localSheetId="8">'MAKABANSA 1'!$A$1:$O$40</definedName>
    <definedName name="_xlnm.Print_Area" localSheetId="6">'READING POWER'!$A$1:$W$37</definedName>
    <definedName name="_xlnm.Print_Area" localSheetId="3">STRATEGICSTEPS_MATH!$A$1:$G$42</definedName>
    <definedName name="_xlnm.Print_Area" localSheetId="4">STRATEGICSTEPS_READING!$A$1:$G$42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9" l="1"/>
  <c r="N13" i="9"/>
  <c r="N14" i="9" s="1"/>
  <c r="N15" i="9" s="1"/>
  <c r="F20" i="9"/>
  <c r="F21" i="9" s="1"/>
  <c r="AD13" i="8"/>
  <c r="AA14" i="8" s="1"/>
  <c r="AD14" i="8" s="1"/>
  <c r="Z13" i="8"/>
  <c r="V13" i="8"/>
  <c r="S14" i="8" s="1"/>
  <c r="V14" i="8" s="1"/>
  <c r="R13" i="8"/>
  <c r="N37" i="8"/>
  <c r="K37" i="8"/>
  <c r="N13" i="8"/>
  <c r="D18" i="8"/>
  <c r="D20" i="8"/>
  <c r="D23" i="8"/>
  <c r="D26" i="8"/>
  <c r="D28" i="8"/>
  <c r="D30" i="8"/>
  <c r="D33" i="8"/>
  <c r="D34" i="8"/>
  <c r="J13" i="8"/>
  <c r="K14" i="8"/>
  <c r="F15" i="8"/>
  <c r="F14" i="8"/>
  <c r="D15" i="8"/>
  <c r="D14" i="8"/>
  <c r="C13" i="8"/>
  <c r="C14" i="8"/>
  <c r="C15" i="8" s="1"/>
  <c r="C16" i="8" s="1"/>
  <c r="D35" i="7"/>
  <c r="I36" i="7"/>
  <c r="I37" i="7"/>
  <c r="I24" i="7"/>
  <c r="I25" i="7"/>
  <c r="I26" i="7"/>
  <c r="I27" i="7"/>
  <c r="I28" i="7"/>
  <c r="I29" i="7"/>
  <c r="I30" i="7"/>
  <c r="I31" i="7"/>
  <c r="I32" i="7"/>
  <c r="I33" i="7"/>
  <c r="I34" i="7"/>
  <c r="I35" i="7"/>
  <c r="I15" i="7"/>
  <c r="I16" i="7"/>
  <c r="I17" i="7"/>
  <c r="I18" i="7"/>
  <c r="I19" i="7"/>
  <c r="I20" i="7"/>
  <c r="I21" i="7"/>
  <c r="I22" i="7"/>
  <c r="I23" i="7"/>
  <c r="I14" i="7"/>
  <c r="K13" i="7"/>
  <c r="C13" i="7"/>
  <c r="K10" i="7"/>
  <c r="J9" i="7"/>
  <c r="N13" i="7"/>
  <c r="I13" i="7"/>
  <c r="F13" i="7"/>
  <c r="C14" i="7" s="1"/>
  <c r="F14" i="7" s="1"/>
  <c r="C15" i="6"/>
  <c r="F28" i="6"/>
  <c r="F13" i="6"/>
  <c r="V13" i="5"/>
  <c r="S14" i="5" s="1"/>
  <c r="V14" i="5" s="1"/>
  <c r="S15" i="5" s="1"/>
  <c r="V15" i="5" s="1"/>
  <c r="S16" i="5" s="1"/>
  <c r="V16" i="5" s="1"/>
  <c r="S17" i="5" s="1"/>
  <c r="V17" i="5" s="1"/>
  <c r="S18" i="5" s="1"/>
  <c r="V18" i="5" s="1"/>
  <c r="S19" i="5" s="1"/>
  <c r="V19" i="5" s="1"/>
  <c r="S20" i="5" s="1"/>
  <c r="V20" i="5" s="1"/>
  <c r="S21" i="5" s="1"/>
  <c r="V21" i="5" s="1"/>
  <c r="S22" i="5" s="1"/>
  <c r="V22" i="5" s="1"/>
  <c r="S23" i="5" s="1"/>
  <c r="V23" i="5" s="1"/>
  <c r="S24" i="5" s="1"/>
  <c r="V24" i="5" s="1"/>
  <c r="S25" i="5" s="1"/>
  <c r="V25" i="5" s="1"/>
  <c r="S26" i="5" s="1"/>
  <c r="V26" i="5" s="1"/>
  <c r="S27" i="5" s="1"/>
  <c r="V27" i="5" s="1"/>
  <c r="S28" i="5" s="1"/>
  <c r="V28" i="5" s="1"/>
  <c r="S29" i="5" s="1"/>
  <c r="V29" i="5" s="1"/>
  <c r="S30" i="5" s="1"/>
  <c r="V30" i="5" s="1"/>
  <c r="S31" i="5" s="1"/>
  <c r="V31" i="5" s="1"/>
  <c r="S32" i="5" s="1"/>
  <c r="V32" i="5" s="1"/>
  <c r="S33" i="5" s="1"/>
  <c r="V33" i="5" s="1"/>
  <c r="S34" i="5" s="1"/>
  <c r="V34" i="5" s="1"/>
  <c r="S35" i="5" s="1"/>
  <c r="V35" i="5" s="1"/>
  <c r="S36" i="5" s="1"/>
  <c r="V36" i="5" s="1"/>
  <c r="N13" i="5"/>
  <c r="K14" i="5" s="1"/>
  <c r="N14" i="5" s="1"/>
  <c r="K15" i="5" s="1"/>
  <c r="N15" i="5" s="1"/>
  <c r="K16" i="5" s="1"/>
  <c r="N16" i="5" s="1"/>
  <c r="K17" i="5" s="1"/>
  <c r="N17" i="5" s="1"/>
  <c r="K18" i="5" s="1"/>
  <c r="N18" i="5" s="1"/>
  <c r="K19" i="5" s="1"/>
  <c r="N19" i="5" s="1"/>
  <c r="K20" i="5" s="1"/>
  <c r="N20" i="5" s="1"/>
  <c r="K21" i="5" s="1"/>
  <c r="N21" i="5" s="1"/>
  <c r="K22" i="5" s="1"/>
  <c r="N22" i="5" s="1"/>
  <c r="K23" i="5" s="1"/>
  <c r="N23" i="5" s="1"/>
  <c r="K24" i="5" s="1"/>
  <c r="N24" i="5" s="1"/>
  <c r="K25" i="5" s="1"/>
  <c r="N25" i="5" s="1"/>
  <c r="K26" i="5" s="1"/>
  <c r="N26" i="5" s="1"/>
  <c r="K27" i="5" s="1"/>
  <c r="N27" i="5" s="1"/>
  <c r="K28" i="5" s="1"/>
  <c r="N28" i="5" s="1"/>
  <c r="K29" i="5" s="1"/>
  <c r="N29" i="5" s="1"/>
  <c r="K30" i="5" s="1"/>
  <c r="N30" i="5" s="1"/>
  <c r="K31" i="5" s="1"/>
  <c r="N31" i="5" s="1"/>
  <c r="K32" i="5" s="1"/>
  <c r="N32" i="5" s="1"/>
  <c r="K33" i="5" s="1"/>
  <c r="N33" i="5" s="1"/>
  <c r="K34" i="5" s="1"/>
  <c r="N34" i="5" s="1"/>
  <c r="K35" i="5" s="1"/>
  <c r="N35" i="5" s="1"/>
  <c r="K36" i="5" s="1"/>
  <c r="N36" i="5" s="1"/>
  <c r="F36" i="5"/>
  <c r="C36" i="5"/>
  <c r="F13" i="5"/>
  <c r="C14" i="5" s="1"/>
  <c r="F14" i="5" s="1"/>
  <c r="C15" i="5" s="1"/>
  <c r="F15" i="5" s="1"/>
  <c r="C16" i="5" s="1"/>
  <c r="F16" i="5" s="1"/>
  <c r="C17" i="5" s="1"/>
  <c r="F17" i="5" s="1"/>
  <c r="C18" i="5" s="1"/>
  <c r="F18" i="5" s="1"/>
  <c r="C19" i="5" s="1"/>
  <c r="F19" i="5" s="1"/>
  <c r="C20" i="5" s="1"/>
  <c r="F20" i="5" s="1"/>
  <c r="C21" i="5" s="1"/>
  <c r="F21" i="5" s="1"/>
  <c r="C22" i="5" s="1"/>
  <c r="F22" i="5" s="1"/>
  <c r="C23" i="5" s="1"/>
  <c r="F23" i="5" s="1"/>
  <c r="C24" i="5" s="1"/>
  <c r="F24" i="5" s="1"/>
  <c r="C25" i="5" s="1"/>
  <c r="F25" i="5" s="1"/>
  <c r="C26" i="5" s="1"/>
  <c r="F26" i="5" s="1"/>
  <c r="C27" i="5" s="1"/>
  <c r="F27" i="5" s="1"/>
  <c r="C28" i="5" s="1"/>
  <c r="F28" i="5" s="1"/>
  <c r="C29" i="5" s="1"/>
  <c r="F29" i="5" s="1"/>
  <c r="C30" i="5" s="1"/>
  <c r="F30" i="5" s="1"/>
  <c r="C31" i="5" s="1"/>
  <c r="F31" i="5" s="1"/>
  <c r="C32" i="5" s="1"/>
  <c r="F32" i="5" s="1"/>
  <c r="C33" i="5" s="1"/>
  <c r="F33" i="5" s="1"/>
  <c r="C34" i="5" s="1"/>
  <c r="F34" i="5" s="1"/>
  <c r="C35" i="5" s="1"/>
  <c r="F35" i="5" s="1"/>
  <c r="AD15" i="8" l="1"/>
  <c r="AA15" i="8"/>
  <c r="V15" i="8"/>
  <c r="S15" i="8"/>
  <c r="N14" i="8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K16" i="8"/>
  <c r="F16" i="8"/>
  <c r="C17" i="8" s="1"/>
  <c r="F17" i="8" s="1"/>
  <c r="C18" i="8" s="1"/>
  <c r="C15" i="7"/>
  <c r="F15" i="7" s="1"/>
  <c r="C16" i="7" s="1"/>
  <c r="F16" i="7" s="1"/>
  <c r="K14" i="7"/>
  <c r="N14" i="7" s="1"/>
  <c r="K15" i="7" s="1"/>
  <c r="N15" i="7" s="1"/>
  <c r="K16" i="7" s="1"/>
  <c r="N16" i="7" s="1"/>
  <c r="C14" i="6"/>
  <c r="F14" i="6" s="1"/>
  <c r="AD16" i="8" l="1"/>
  <c r="AA16" i="8"/>
  <c r="S16" i="8"/>
  <c r="V16" i="8"/>
  <c r="K15" i="8"/>
  <c r="K17" i="8"/>
  <c r="F18" i="8"/>
  <c r="C19" i="8" s="1"/>
  <c r="C17" i="7"/>
  <c r="F17" i="7" s="1"/>
  <c r="AD17" i="8" l="1"/>
  <c r="AA17" i="8"/>
  <c r="V17" i="8"/>
  <c r="S17" i="8"/>
  <c r="K18" i="8"/>
  <c r="F19" i="8"/>
  <c r="C20" i="8" s="1"/>
  <c r="C18" i="7"/>
  <c r="F18" i="7" s="1"/>
  <c r="K17" i="7"/>
  <c r="N17" i="7" s="1"/>
  <c r="F15" i="6"/>
  <c r="C16" i="6" s="1"/>
  <c r="F16" i="6" s="1"/>
  <c r="C17" i="6" s="1"/>
  <c r="F17" i="6" s="1"/>
  <c r="C18" i="6" s="1"/>
  <c r="AD18" i="8" l="1"/>
  <c r="AA18" i="8"/>
  <c r="S18" i="8"/>
  <c r="V18" i="8"/>
  <c r="K19" i="8"/>
  <c r="F20" i="8"/>
  <c r="C21" i="8" s="1"/>
  <c r="C19" i="7"/>
  <c r="F19" i="7" s="1"/>
  <c r="K18" i="7"/>
  <c r="N18" i="7" s="1"/>
  <c r="F18" i="6"/>
  <c r="C19" i="6" s="1"/>
  <c r="F19" i="6" s="1"/>
  <c r="C20" i="6" s="1"/>
  <c r="F20" i="6" s="1"/>
  <c r="C21" i="6" s="1"/>
  <c r="F21" i="6" s="1"/>
  <c r="C22" i="6" s="1"/>
  <c r="F22" i="6" s="1"/>
  <c r="C23" i="6" s="1"/>
  <c r="F23" i="6" s="1"/>
  <c r="C24" i="6" s="1"/>
  <c r="F24" i="6" s="1"/>
  <c r="C25" i="6" s="1"/>
  <c r="F25" i="6" s="1"/>
  <c r="C26" i="6" s="1"/>
  <c r="F26" i="6" s="1"/>
  <c r="C27" i="6" s="1"/>
  <c r="F27" i="6" s="1"/>
  <c r="I13" i="3"/>
  <c r="C34" i="3"/>
  <c r="C25" i="3"/>
  <c r="C16" i="3"/>
  <c r="C15" i="3"/>
  <c r="C14" i="3"/>
  <c r="C13" i="3"/>
  <c r="N13" i="4"/>
  <c r="K14" i="4" s="1"/>
  <c r="N14" i="4" s="1"/>
  <c r="K15" i="4" s="1"/>
  <c r="N15" i="4" s="1"/>
  <c r="K16" i="4" s="1"/>
  <c r="N16" i="4" s="1"/>
  <c r="K17" i="4" s="1"/>
  <c r="N17" i="4" s="1"/>
  <c r="K18" i="4" s="1"/>
  <c r="N18" i="4" s="1"/>
  <c r="K19" i="4" s="1"/>
  <c r="N19" i="4" s="1"/>
  <c r="K20" i="4" s="1"/>
  <c r="N20" i="4" s="1"/>
  <c r="K21" i="4" s="1"/>
  <c r="N21" i="4" s="1"/>
  <c r="K22" i="4" s="1"/>
  <c r="N22" i="4" s="1"/>
  <c r="K23" i="4" s="1"/>
  <c r="N23" i="4" s="1"/>
  <c r="K24" i="4" s="1"/>
  <c r="N24" i="4" s="1"/>
  <c r="K25" i="4" s="1"/>
  <c r="N25" i="4" s="1"/>
  <c r="K26" i="4" s="1"/>
  <c r="N26" i="4" s="1"/>
  <c r="K27" i="4" s="1"/>
  <c r="N27" i="4" s="1"/>
  <c r="K28" i="4" s="1"/>
  <c r="N28" i="4" s="1"/>
  <c r="K29" i="4" s="1"/>
  <c r="N29" i="4" s="1"/>
  <c r="K30" i="4" s="1"/>
  <c r="N30" i="4" s="1"/>
  <c r="K31" i="4" s="1"/>
  <c r="N31" i="4" s="1"/>
  <c r="K32" i="4" s="1"/>
  <c r="N32" i="4" s="1"/>
  <c r="K33" i="4" s="1"/>
  <c r="N33" i="4" s="1"/>
  <c r="K34" i="4" s="1"/>
  <c r="N34" i="4" s="1"/>
  <c r="K35" i="4" s="1"/>
  <c r="N35" i="4" s="1"/>
  <c r="C13" i="4"/>
  <c r="F13" i="4" s="1"/>
  <c r="C14" i="4" s="1"/>
  <c r="F14" i="4" s="1"/>
  <c r="C15" i="4" s="1"/>
  <c r="F15" i="4" s="1"/>
  <c r="C16" i="4" s="1"/>
  <c r="F16" i="4" s="1"/>
  <c r="C17" i="4" s="1"/>
  <c r="F17" i="4" s="1"/>
  <c r="C18" i="4" s="1"/>
  <c r="F18" i="4" s="1"/>
  <c r="C19" i="4" s="1"/>
  <c r="F19" i="4" s="1"/>
  <c r="C20" i="4" s="1"/>
  <c r="F20" i="4" s="1"/>
  <c r="C21" i="4" s="1"/>
  <c r="F21" i="4" s="1"/>
  <c r="C22" i="4" s="1"/>
  <c r="F22" i="4" s="1"/>
  <c r="C23" i="4" s="1"/>
  <c r="F23" i="4" s="1"/>
  <c r="C24" i="4" s="1"/>
  <c r="F24" i="4" s="1"/>
  <c r="C25" i="4" s="1"/>
  <c r="F25" i="4" s="1"/>
  <c r="C26" i="4" s="1"/>
  <c r="F26" i="4" s="1"/>
  <c r="C27" i="4" s="1"/>
  <c r="F27" i="4" s="1"/>
  <c r="C28" i="4" s="1"/>
  <c r="F28" i="4" s="1"/>
  <c r="C29" i="4" s="1"/>
  <c r="F29" i="4" s="1"/>
  <c r="C30" i="4" s="1"/>
  <c r="F30" i="4" s="1"/>
  <c r="C31" i="4" s="1"/>
  <c r="F31" i="4" s="1"/>
  <c r="C32" i="4" s="1"/>
  <c r="F32" i="4" s="1"/>
  <c r="C33" i="4" s="1"/>
  <c r="F33" i="4" s="1"/>
  <c r="C34" i="4" s="1"/>
  <c r="F34" i="4" s="1"/>
  <c r="C35" i="4" s="1"/>
  <c r="F35" i="4" s="1"/>
  <c r="AD19" i="8" l="1"/>
  <c r="AA19" i="8"/>
  <c r="V19" i="8"/>
  <c r="S19" i="8"/>
  <c r="K20" i="8"/>
  <c r="F21" i="8"/>
  <c r="C22" i="8" s="1"/>
  <c r="C20" i="7"/>
  <c r="F20" i="7" s="1"/>
  <c r="K19" i="7"/>
  <c r="N19" i="7" s="1"/>
  <c r="N13" i="3"/>
  <c r="K14" i="3" s="1"/>
  <c r="F16" i="3"/>
  <c r="C17" i="3" s="1"/>
  <c r="F15" i="3"/>
  <c r="F17" i="3"/>
  <c r="F14" i="3"/>
  <c r="F13" i="3"/>
  <c r="F13" i="2"/>
  <c r="C14" i="2" s="1"/>
  <c r="F14" i="2" s="1"/>
  <c r="C15" i="2" s="1"/>
  <c r="F15" i="2" s="1"/>
  <c r="C16" i="2" s="1"/>
  <c r="F16" i="2" s="1"/>
  <c r="C17" i="2" s="1"/>
  <c r="F17" i="2" s="1"/>
  <c r="C18" i="2" s="1"/>
  <c r="F18" i="2" s="1"/>
  <c r="C19" i="2" s="1"/>
  <c r="F19" i="2" s="1"/>
  <c r="C20" i="2" s="1"/>
  <c r="F20" i="2" s="1"/>
  <c r="C21" i="2" s="1"/>
  <c r="F21" i="2" s="1"/>
  <c r="C22" i="2" s="1"/>
  <c r="F22" i="2" s="1"/>
  <c r="C23" i="2" s="1"/>
  <c r="F23" i="2" s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V20" i="8" l="1"/>
  <c r="S20" i="8"/>
  <c r="K21" i="8"/>
  <c r="F22" i="8"/>
  <c r="C23" i="8" s="1"/>
  <c r="C21" i="7"/>
  <c r="F21" i="7" s="1"/>
  <c r="K20" i="7"/>
  <c r="N20" i="7" s="1"/>
  <c r="C18" i="3"/>
  <c r="F18" i="3" s="1"/>
  <c r="N14" i="3"/>
  <c r="K15" i="3" s="1"/>
  <c r="N15" i="3" s="1"/>
  <c r="K16" i="3" s="1"/>
  <c r="N16" i="3" s="1"/>
  <c r="K17" i="3" s="1"/>
  <c r="N17" i="3" s="1"/>
  <c r="K18" i="3" s="1"/>
  <c r="N18" i="3" s="1"/>
  <c r="K19" i="3" s="1"/>
  <c r="N19" i="3" s="1"/>
  <c r="K20" i="3" s="1"/>
  <c r="N20" i="3" s="1"/>
  <c r="K21" i="3" s="1"/>
  <c r="N21" i="3" s="1"/>
  <c r="K22" i="3" s="1"/>
  <c r="N22" i="3" s="1"/>
  <c r="K23" i="3" s="1"/>
  <c r="N23" i="3" s="1"/>
  <c r="K24" i="3" s="1"/>
  <c r="N24" i="3" s="1"/>
  <c r="K25" i="3" s="1"/>
  <c r="N25" i="3" s="1"/>
  <c r="K26" i="3" s="1"/>
  <c r="N26" i="3" s="1"/>
  <c r="K27" i="3" s="1"/>
  <c r="N27" i="3" s="1"/>
  <c r="K28" i="3" s="1"/>
  <c r="V21" i="8" l="1"/>
  <c r="S21" i="8"/>
  <c r="K22" i="8"/>
  <c r="F23" i="8"/>
  <c r="C24" i="8" s="1"/>
  <c r="C22" i="7"/>
  <c r="F22" i="7" s="1"/>
  <c r="K21" i="7"/>
  <c r="N21" i="7" s="1"/>
  <c r="C19" i="3"/>
  <c r="F19" i="3" s="1"/>
  <c r="N28" i="3"/>
  <c r="K29" i="3" s="1"/>
  <c r="N29" i="3" s="1"/>
  <c r="K30" i="3" s="1"/>
  <c r="N30" i="3" s="1"/>
  <c r="K31" i="3" s="1"/>
  <c r="N31" i="3" s="1"/>
  <c r="K32" i="3" s="1"/>
  <c r="N32" i="3" s="1"/>
  <c r="K33" i="3" s="1"/>
  <c r="N33" i="3" s="1"/>
  <c r="K34" i="3" s="1"/>
  <c r="N34" i="3" s="1"/>
  <c r="K35" i="3" s="1"/>
  <c r="N35" i="3" s="1"/>
  <c r="V22" i="8" l="1"/>
  <c r="S22" i="8"/>
  <c r="F24" i="8"/>
  <c r="C25" i="8" s="1"/>
  <c r="F25" i="8" s="1"/>
  <c r="C26" i="8" s="1"/>
  <c r="K23" i="8"/>
  <c r="C23" i="7"/>
  <c r="F23" i="7" s="1"/>
  <c r="K22" i="7"/>
  <c r="N22" i="7" s="1"/>
  <c r="C20" i="3"/>
  <c r="F20" i="3" s="1"/>
  <c r="S23" i="8" l="1"/>
  <c r="V23" i="8"/>
  <c r="K24" i="8"/>
  <c r="F26" i="8"/>
  <c r="C27" i="8" s="1"/>
  <c r="C24" i="7"/>
  <c r="F24" i="7" s="1"/>
  <c r="K23" i="7"/>
  <c r="N23" i="7" s="1"/>
  <c r="C21" i="3"/>
  <c r="F21" i="3" s="1"/>
  <c r="V24" i="8" l="1"/>
  <c r="S24" i="8"/>
  <c r="K25" i="8"/>
  <c r="F27" i="8"/>
  <c r="C28" i="8" s="1"/>
  <c r="C25" i="7"/>
  <c r="F25" i="7" s="1"/>
  <c r="K24" i="7"/>
  <c r="N24" i="7" s="1"/>
  <c r="C22" i="3"/>
  <c r="F22" i="3" s="1"/>
  <c r="V25" i="8" l="1"/>
  <c r="S25" i="8"/>
  <c r="K26" i="8"/>
  <c r="F28" i="8"/>
  <c r="C29" i="8" s="1"/>
  <c r="C26" i="7"/>
  <c r="F26" i="7" s="1"/>
  <c r="K25" i="7"/>
  <c r="N25" i="7" s="1"/>
  <c r="C23" i="3"/>
  <c r="F23" i="3" s="1"/>
  <c r="C24" i="3" s="1"/>
  <c r="F24" i="3" s="1"/>
  <c r="F25" i="3" s="1"/>
  <c r="V26" i="8" l="1"/>
  <c r="S26" i="8"/>
  <c r="K27" i="8"/>
  <c r="K28" i="8" s="1"/>
  <c r="F29" i="8"/>
  <c r="C30" i="8" s="1"/>
  <c r="C27" i="7"/>
  <c r="F27" i="7" s="1"/>
  <c r="K26" i="7"/>
  <c r="N26" i="7" s="1"/>
  <c r="C26" i="3"/>
  <c r="F26" i="3" s="1"/>
  <c r="V27" i="8" l="1"/>
  <c r="S27" i="8"/>
  <c r="K29" i="8"/>
  <c r="F30" i="8"/>
  <c r="C31" i="8" s="1"/>
  <c r="C28" i="7"/>
  <c r="K27" i="7"/>
  <c r="N27" i="7" s="1"/>
  <c r="C27" i="3"/>
  <c r="F27" i="3" s="1"/>
  <c r="V28" i="8" l="1"/>
  <c r="S28" i="8"/>
  <c r="K30" i="8"/>
  <c r="F31" i="8"/>
  <c r="C32" i="8" s="1"/>
  <c r="F28" i="7"/>
  <c r="C29" i="7" s="1"/>
  <c r="F29" i="7" s="1"/>
  <c r="C30" i="7" s="1"/>
  <c r="F30" i="7" s="1"/>
  <c r="K28" i="7"/>
  <c r="N28" i="7" s="1"/>
  <c r="C28" i="3"/>
  <c r="F28" i="3" s="1"/>
  <c r="V29" i="8" l="1"/>
  <c r="S29" i="8"/>
  <c r="F32" i="8"/>
  <c r="C33" i="8" s="1"/>
  <c r="F33" i="8" s="1"/>
  <c r="C34" i="8" s="1"/>
  <c r="K31" i="8"/>
  <c r="C31" i="7"/>
  <c r="F31" i="7" s="1"/>
  <c r="K29" i="7"/>
  <c r="N29" i="7" s="1"/>
  <c r="C29" i="3"/>
  <c r="F29" i="3" s="1"/>
  <c r="S30" i="8" l="1"/>
  <c r="V30" i="8"/>
  <c r="K32" i="8"/>
  <c r="F34" i="8"/>
  <c r="C32" i="7"/>
  <c r="F32" i="7" s="1"/>
  <c r="K30" i="7"/>
  <c r="N30" i="7" s="1"/>
  <c r="C30" i="3"/>
  <c r="F30" i="3" s="1"/>
  <c r="V31" i="8" l="1"/>
  <c r="S31" i="8"/>
  <c r="K33" i="8"/>
  <c r="C35" i="8"/>
  <c r="F35" i="8" s="1"/>
  <c r="C33" i="7"/>
  <c r="F33" i="7" s="1"/>
  <c r="K31" i="7"/>
  <c r="N31" i="7" s="1"/>
  <c r="C31" i="3"/>
  <c r="F31" i="3" s="1"/>
  <c r="S32" i="8" l="1"/>
  <c r="V32" i="8"/>
  <c r="K34" i="8"/>
  <c r="C36" i="8"/>
  <c r="F36" i="8" s="1"/>
  <c r="C34" i="7"/>
  <c r="F34" i="7" s="1"/>
  <c r="K32" i="7"/>
  <c r="N32" i="7" s="1"/>
  <c r="C32" i="3"/>
  <c r="F32" i="3" s="1"/>
  <c r="V33" i="8" l="1"/>
  <c r="S33" i="8"/>
  <c r="K35" i="8"/>
  <c r="C35" i="7"/>
  <c r="K33" i="7"/>
  <c r="N33" i="7" s="1"/>
  <c r="C33" i="3"/>
  <c r="F33" i="3" s="1"/>
  <c r="F34" i="3" s="1"/>
  <c r="S34" i="8" l="1"/>
  <c r="V34" i="8"/>
  <c r="K36" i="8"/>
  <c r="F35" i="7"/>
  <c r="C36" i="7" s="1"/>
  <c r="F36" i="7" s="1"/>
  <c r="C37" i="7" s="1"/>
  <c r="F37" i="7" s="1"/>
  <c r="K34" i="7"/>
  <c r="N34" i="7" s="1"/>
  <c r="F35" i="3"/>
  <c r="C35" i="3"/>
  <c r="V35" i="8" l="1"/>
  <c r="S35" i="8"/>
  <c r="K35" i="7"/>
  <c r="N35" i="7" s="1"/>
  <c r="V36" i="8" l="1"/>
  <c r="S36" i="8"/>
  <c r="K36" i="7"/>
  <c r="V37" i="8" l="1"/>
  <c r="S37" i="8"/>
  <c r="N36" i="7"/>
  <c r="K37" i="7" s="1"/>
  <c r="N37" i="7" s="1"/>
</calcChain>
</file>

<file path=xl/sharedStrings.xml><?xml version="1.0" encoding="utf-8"?>
<sst xmlns="http://schemas.openxmlformats.org/spreadsheetml/2006/main" count="1204" uniqueCount="143">
  <si>
    <t xml:space="preserve">Appendix 58
</t>
  </si>
  <si>
    <t>STOCK CARD</t>
  </si>
  <si>
    <t>Fund Cluster: _________________</t>
  </si>
  <si>
    <t xml:space="preserve">Item : </t>
  </si>
  <si>
    <t xml:space="preserve">Stock No. : </t>
  </si>
  <si>
    <t xml:space="preserve">Description : </t>
  </si>
  <si>
    <t xml:space="preserve">Re-order Point : </t>
  </si>
  <si>
    <t xml:space="preserve">Unit of Measurement : </t>
  </si>
  <si>
    <t xml:space="preserve">NOTE: </t>
  </si>
  <si>
    <t>Date</t>
  </si>
  <si>
    <t>Reference</t>
  </si>
  <si>
    <t>Receipt</t>
  </si>
  <si>
    <t>Issue</t>
  </si>
  <si>
    <t>Balance</t>
  </si>
  <si>
    <t>No. of Days to Consume</t>
  </si>
  <si>
    <t>Qty.</t>
  </si>
  <si>
    <t>Office</t>
  </si>
  <si>
    <t>1 STOCK CARD PER ITEM</t>
  </si>
  <si>
    <t>USE FOR RECORDING</t>
  </si>
  <si>
    <t>CONSUMBALE AND TANGIBLE ITEMS NOT MORE THAN 15K</t>
  </si>
  <si>
    <t>Entity Name: SDO BALIWAG</t>
  </si>
  <si>
    <t>TEXTBOOK</t>
  </si>
  <si>
    <t>PISA - 2025 SCIENCE FRAMEWORK</t>
  </si>
  <si>
    <t>TXBK-2025-02-</t>
  </si>
  <si>
    <t>2/19/2025</t>
  </si>
  <si>
    <t>APO -55101</t>
  </si>
  <si>
    <t>CPS</t>
  </si>
  <si>
    <t>PISA - 2018 RELEASED REA ITEMS</t>
  </si>
  <si>
    <t>PISA - 2025 LEARNING IN THE DIGITAL WORLD ASSESSMENT FRAMEWORK</t>
  </si>
  <si>
    <t xml:space="preserve">PISA - 2025 PRETEST POST TEST SCIENCE </t>
  </si>
  <si>
    <t>PISA - 2025 PRETEST POST TEST SCIENCE ANSWER KEY</t>
  </si>
  <si>
    <t>SLM</t>
  </si>
  <si>
    <t>STRATEGIC STEPS IN READING</t>
  </si>
  <si>
    <t>4/28/2025</t>
  </si>
  <si>
    <t>SSRS A-H</t>
  </si>
  <si>
    <t>PACKAGE</t>
  </si>
  <si>
    <t>SCHOOL</t>
  </si>
  <si>
    <t>CATULINAN ES</t>
  </si>
  <si>
    <t>DGMMS</t>
  </si>
  <si>
    <t>DNVR</t>
  </si>
  <si>
    <t>EVRC</t>
  </si>
  <si>
    <t>SLMSSRS-2025-2025-04-001</t>
  </si>
  <si>
    <t>DR.NV.RUSTIA MS</t>
  </si>
  <si>
    <t>ENG. V.R.CRUZ MS</t>
  </si>
  <si>
    <t>JACINTO PONCE ES</t>
  </si>
  <si>
    <t>PAITAN ES</t>
  </si>
  <si>
    <t>SABANG ES</t>
  </si>
  <si>
    <t>TILAPAYONG ES</t>
  </si>
  <si>
    <t>MAKINABANG ES</t>
  </si>
  <si>
    <t xml:space="preserve"> MATANGTUBIG ES</t>
  </si>
  <si>
    <t>TIAONG ES</t>
  </si>
  <si>
    <t>M.PONCE NHS</t>
  </si>
  <si>
    <t>F&amp;J-0000015353</t>
  </si>
  <si>
    <t>PE/HEALTH TEXTBOOK</t>
  </si>
  <si>
    <t>BNCS</t>
  </si>
  <si>
    <t>HINUKAY ES</t>
  </si>
  <si>
    <t>JPES</t>
  </si>
  <si>
    <t>JVYMS</t>
  </si>
  <si>
    <t>SUBIC ES</t>
  </si>
  <si>
    <t>BSCS</t>
  </si>
  <si>
    <t>CALANTIPAY ES</t>
  </si>
  <si>
    <t>CONCEPCION ES</t>
  </si>
  <si>
    <t>MAKES</t>
  </si>
  <si>
    <t>MATES</t>
  </si>
  <si>
    <t>PINES</t>
  </si>
  <si>
    <t>SAN JOSE ES</t>
  </si>
  <si>
    <t>SBES</t>
  </si>
  <si>
    <t>TARCAN ES</t>
  </si>
  <si>
    <t>VDFES</t>
  </si>
  <si>
    <t>BLOOMBOOKS DR-81569</t>
  </si>
  <si>
    <t>TXBK-2025-11-001</t>
  </si>
  <si>
    <t>TEACHER'S MANUAL</t>
  </si>
  <si>
    <t>PE/HEALTH TM</t>
  </si>
  <si>
    <t>5 YEARS</t>
  </si>
  <si>
    <t>TXM-2025-11-001</t>
  </si>
  <si>
    <t>10/13/2025</t>
  </si>
  <si>
    <t>VECO</t>
  </si>
  <si>
    <t>DR-CEN-L68-25-09-0032</t>
  </si>
  <si>
    <t>EPP 5</t>
  </si>
  <si>
    <t>DGMMA</t>
  </si>
  <si>
    <t>CONES</t>
  </si>
  <si>
    <t>DR-CEN-L68-25-09-0031</t>
  </si>
  <si>
    <t>BLOOMBOOKS DR-81570</t>
  </si>
  <si>
    <t>5/23/2025</t>
  </si>
  <si>
    <t>ST. MARY'S PUBLISHING</t>
  </si>
  <si>
    <t>SI 12019</t>
  </si>
  <si>
    <t>TXBK-2025-05-01</t>
  </si>
  <si>
    <t>COPY/IES</t>
  </si>
  <si>
    <t>LRMDS</t>
  </si>
  <si>
    <t>TXBK-2025-05-02</t>
  </si>
  <si>
    <t>DEVELOPING READING POWER GR. 1 4TH ED</t>
  </si>
  <si>
    <t>DEVELOPING READING POWER GR. 2, 4TH ED</t>
  </si>
  <si>
    <t>DEVELOPING READING POWER GR. 3, 4TH ED</t>
  </si>
  <si>
    <t>STRATEGIC STEPS IN MATH</t>
  </si>
  <si>
    <t>SLMSSRM-2025-2025-07-001</t>
  </si>
  <si>
    <t>7/17/2025</t>
  </si>
  <si>
    <t>7/14/2025</t>
  </si>
  <si>
    <t>VDFHS</t>
  </si>
  <si>
    <t>TXBK-2025-03-001</t>
  </si>
  <si>
    <t>MAKABANSA GR. 1</t>
  </si>
  <si>
    <t>3/21/2025</t>
  </si>
  <si>
    <t>REG-III-VECO-0707</t>
  </si>
  <si>
    <t>REG-III-VECO-0708</t>
  </si>
  <si>
    <t>3/26/2025</t>
  </si>
  <si>
    <t>3/24/2025</t>
  </si>
  <si>
    <t>3/27/2025</t>
  </si>
  <si>
    <t>3/28/2025</t>
  </si>
  <si>
    <t>TXM-2025-03-001</t>
  </si>
  <si>
    <t>44 VARIED TITLES STORY BOOKS</t>
  </si>
  <si>
    <t>SLMSSRS-2025-2025-01-001</t>
  </si>
  <si>
    <t>ST. ANDREWS</t>
  </si>
  <si>
    <t>TARES</t>
  </si>
  <si>
    <t>LEX PRINTING</t>
  </si>
  <si>
    <t>CHIKITING TALAISIPAN GR. 3</t>
  </si>
  <si>
    <t>ENYONG, ANG BATANG BALIWAGHENYO</t>
  </si>
  <si>
    <t>SLMSSRS-2025-2025-01-002</t>
  </si>
  <si>
    <t>SLMSSRS-2025-2025-01-003</t>
  </si>
  <si>
    <t>JUNIOR TALAISIPAN, GR. 7</t>
  </si>
  <si>
    <t>MPNHS</t>
  </si>
  <si>
    <t>SULIVAN NHS</t>
  </si>
  <si>
    <t>STO. NINO HS</t>
  </si>
  <si>
    <t>TEMHS</t>
  </si>
  <si>
    <t>SBHS</t>
  </si>
  <si>
    <t>SLMSSRS-2025-2025-01-004</t>
  </si>
  <si>
    <t>Unit of Measurement : PCS</t>
  </si>
  <si>
    <t>BOOK</t>
  </si>
  <si>
    <t>ENCYCLOPEDIA</t>
  </si>
  <si>
    <t>SLMENCY_2025-12-001</t>
  </si>
  <si>
    <t>The Encyclopedia of the Human Body: Amazing Parts</t>
  </si>
  <si>
    <t>The Encyclopedia of the Human Body: Sensible Senses</t>
  </si>
  <si>
    <t>The Encyclopeida of the Human Body: The Digestive, Urinary and Excretory Systems</t>
  </si>
  <si>
    <t>The Encyclopedia of the Human Body: The Nervous Endocrine &amp; Immune Systems</t>
  </si>
  <si>
    <t>The ENcyclopedia of the Human Body: The Reproductive System</t>
  </si>
  <si>
    <t>The Encyclopedia of the Human Body Skeletal Muscular System</t>
  </si>
  <si>
    <t>Pictorial WOrld Atlas</t>
  </si>
  <si>
    <t>12/15/2025</t>
  </si>
  <si>
    <t>TEODORO EVANGELISTA MHS</t>
  </si>
  <si>
    <t>VIRGEN DELAS FLORES HS</t>
  </si>
  <si>
    <t>SET</t>
  </si>
  <si>
    <t>The New High School Subject library Collection 4 Vol Set HB, 2023</t>
  </si>
  <si>
    <t xml:space="preserve">The New Philippines's COmprehensive </t>
  </si>
  <si>
    <t>Dictionary &amp; Thesaurus with Philippines 12 Major Languages (set)</t>
  </si>
  <si>
    <t>SLMENCY_2025-12-002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</si>
</sst>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i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8"/>
      <name val="Calibri"/>
      <family val="2"/>
      <scheme val="minor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 style="thin">
        <color indexed="64"/>
      </right>
      <top/>
      <bottom/>
      <diagonal/>
    </border>
    <border>
      <left style="medium">
        <color rgb="FFCCCC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CCCCCC"/>
      </right>
      <top style="medium">
        <color indexed="64"/>
      </top>
      <bottom/>
      <diagonal/>
    </border>
    <border>
      <left style="thin">
        <color indexed="64"/>
      </left>
      <right style="medium">
        <color rgb="FFCCCCCC"/>
      </right>
      <top/>
      <bottom/>
      <diagonal/>
    </border>
    <border>
      <left style="thin">
        <color indexed="64"/>
      </left>
      <right style="medium">
        <color rgb="FFCCCCCC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vertical="top"/>
    </xf>
    <xf numFmtId="0" fontId="4" fillId="0" borderId="10" xfId="0" applyFont="1" applyBorder="1"/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6" fillId="0" borderId="12" xfId="0" applyFont="1" applyBorder="1"/>
    <xf numFmtId="0" fontId="0" fillId="0" borderId="11" xfId="0" applyBorder="1" applyAlignment="1">
      <alignment vertical="top"/>
    </xf>
    <xf numFmtId="0" fontId="3" fillId="0" borderId="0" xfId="0" applyFont="1"/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14" fontId="5" fillId="0" borderId="17" xfId="0" quotePrefix="1" applyNumberFormat="1" applyFont="1" applyBorder="1"/>
    <xf numFmtId="0" fontId="5" fillId="0" borderId="17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14" fontId="5" fillId="0" borderId="25" xfId="0" applyNumberFormat="1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4" fillId="0" borderId="0" xfId="0" applyFont="1"/>
    <xf numFmtId="0" fontId="5" fillId="0" borderId="31" xfId="0" applyFont="1" applyBorder="1"/>
    <xf numFmtId="14" fontId="5" fillId="0" borderId="31" xfId="0" applyNumberFormat="1" applyFont="1" applyBorder="1"/>
    <xf numFmtId="14" fontId="5" fillId="0" borderId="32" xfId="0" quotePrefix="1" applyNumberFormat="1" applyFont="1" applyBorder="1"/>
    <xf numFmtId="0" fontId="5" fillId="0" borderId="33" xfId="0" applyFont="1" applyBorder="1"/>
    <xf numFmtId="0" fontId="5" fillId="0" borderId="32" xfId="0" applyFont="1" applyBorder="1"/>
    <xf numFmtId="0" fontId="4" fillId="0" borderId="3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9" fillId="0" borderId="33" xfId="0" applyFont="1" applyBorder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3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/>
    </xf>
    <xf numFmtId="0" fontId="6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top"/>
    </xf>
    <xf numFmtId="0" fontId="4" fillId="0" borderId="31" xfId="0" applyFont="1" applyBorder="1"/>
    <xf numFmtId="0" fontId="8" fillId="0" borderId="31" xfId="0" applyFont="1" applyBorder="1"/>
    <xf numFmtId="0" fontId="9" fillId="0" borderId="3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 vertical="top"/>
    </xf>
    <xf numFmtId="0" fontId="5" fillId="0" borderId="35" xfId="0" applyFont="1" applyBorder="1"/>
    <xf numFmtId="0" fontId="5" fillId="0" borderId="35" xfId="0" applyFont="1" applyBorder="1" applyAlignment="1">
      <alignment horizontal="center"/>
    </xf>
    <xf numFmtId="0" fontId="5" fillId="0" borderId="8" xfId="0" applyFont="1" applyBorder="1"/>
    <xf numFmtId="0" fontId="5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center"/>
    </xf>
    <xf numFmtId="0" fontId="5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0" borderId="33" xfId="0" applyFont="1" applyBorder="1"/>
    <xf numFmtId="0" fontId="9" fillId="0" borderId="3" xfId="0" applyFont="1" applyBorder="1" applyAlignment="1">
      <alignment horizontal="center" vertical="top"/>
    </xf>
    <xf numFmtId="0" fontId="8" fillId="0" borderId="31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14" fontId="8" fillId="0" borderId="32" xfId="0" quotePrefix="1" applyNumberFormat="1" applyFont="1" applyBorder="1"/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14" fontId="8" fillId="0" borderId="31" xfId="0" applyNumberFormat="1" applyFont="1" applyBorder="1"/>
    <xf numFmtId="0" fontId="11" fillId="0" borderId="33" xfId="0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40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3" fillId="0" borderId="19" xfId="0" applyFont="1" applyBorder="1" applyAlignment="1">
      <alignment horizontal="center" vertical="center"/>
    </xf>
    <xf numFmtId="0" fontId="6" fillId="0" borderId="41" xfId="0" applyFont="1" applyBorder="1" applyAlignment="1">
      <alignment wrapText="1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10" xfId="0" applyFont="1" applyBorder="1" applyAlignment="1">
      <alignment horizontal="right"/>
    </xf>
    <xf numFmtId="0" fontId="5" fillId="0" borderId="42" xfId="0" applyFont="1" applyBorder="1" applyAlignment="1">
      <alignment horizontal="center" vertical="center"/>
    </xf>
    <xf numFmtId="0" fontId="5" fillId="0" borderId="42" xfId="0" applyFont="1" applyBorder="1" applyAlignment="1">
      <alignment vertical="center"/>
    </xf>
    <xf numFmtId="0" fontId="8" fillId="0" borderId="35" xfId="0" applyFont="1" applyBorder="1"/>
    <xf numFmtId="0" fontId="6" fillId="0" borderId="31" xfId="0" applyFont="1" applyBorder="1" applyAlignment="1">
      <alignment wrapText="1"/>
    </xf>
    <xf numFmtId="0" fontId="5" fillId="0" borderId="31" xfId="0" applyFont="1" applyBorder="1" applyAlignment="1">
      <alignment vertical="center"/>
    </xf>
    <xf numFmtId="14" fontId="5" fillId="0" borderId="45" xfId="0" quotePrefix="1" applyNumberFormat="1" applyFont="1" applyBorder="1"/>
    <xf numFmtId="0" fontId="6" fillId="2" borderId="46" xfId="0" applyFont="1" applyFill="1" applyBorder="1" applyAlignment="1">
      <alignment wrapText="1"/>
    </xf>
    <xf numFmtId="0" fontId="5" fillId="0" borderId="47" xfId="0" applyFont="1" applyBorder="1" applyAlignment="1">
      <alignment horizontal="center"/>
    </xf>
    <xf numFmtId="0" fontId="6" fillId="2" borderId="31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14" fontId="5" fillId="0" borderId="48" xfId="0" quotePrefix="1" applyNumberFormat="1" applyFont="1" applyBorder="1" applyAlignment="1">
      <alignment horizontal="center" vertical="center"/>
    </xf>
    <xf numFmtId="14" fontId="5" fillId="0" borderId="49" xfId="0" quotePrefix="1" applyNumberFormat="1" applyFont="1" applyBorder="1" applyAlignment="1">
      <alignment horizontal="center" vertical="center"/>
    </xf>
    <xf numFmtId="14" fontId="5" fillId="0" borderId="50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42</xdr:row>
      <xdr:rowOff>0</xdr:rowOff>
    </xdr:from>
    <xdr:to>
      <xdr:col>2</xdr:col>
      <xdr:colOff>655320</xdr:colOff>
      <xdr:row>42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CF6A6331-5D42-4BF3-AB22-EF08645B1107}"/>
            </a:ext>
          </a:extLst>
        </xdr:cNvPr>
        <xdr:cNvSpPr>
          <a:spLocks noChangeShapeType="1"/>
        </xdr:cNvSpPr>
      </xdr:nvSpPr>
      <xdr:spPr bwMode="auto">
        <a:xfrm>
          <a:off x="2804160" y="1255014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7FD28962-185D-48C4-A112-867402F26C7B}"/>
            </a:ext>
          </a:extLst>
        </xdr:cNvPr>
        <xdr:cNvSpPr>
          <a:spLocks noChangeShapeType="1"/>
        </xdr:cNvSpPr>
      </xdr:nvSpPr>
      <xdr:spPr bwMode="auto">
        <a:xfrm>
          <a:off x="5455920" y="1546860"/>
          <a:ext cx="0" cy="75438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91440</xdr:colOff>
      <xdr:row>0</xdr:row>
      <xdr:rowOff>91440</xdr:rowOff>
    </xdr:from>
    <xdr:to>
      <xdr:col>4</xdr:col>
      <xdr:colOff>899160</xdr:colOff>
      <xdr:row>2</xdr:row>
      <xdr:rowOff>30480</xdr:rowOff>
    </xdr:to>
    <xdr:pic>
      <xdr:nvPicPr>
        <xdr:cNvPr id="4" name="Picture 3" descr="C:\Users\DepEd\Desktop\New-DepEd-Official-Seal.jpg">
          <a:extLst>
            <a:ext uri="{FF2B5EF4-FFF2-40B4-BE49-F238E27FC236}">
              <a16:creationId xmlns:a16="http://schemas.microsoft.com/office/drawing/2014/main" id="{D1BDF56C-CE55-437D-B94B-45F94E3B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7140" y="91440"/>
          <a:ext cx="80772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2087880</xdr:colOff>
      <xdr:row>42</xdr:row>
      <xdr:rowOff>0</xdr:rowOff>
    </xdr:from>
    <xdr:to>
      <xdr:col>10</xdr:col>
      <xdr:colOff>655320</xdr:colOff>
      <xdr:row>42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6BDAF5C2-257C-441E-BFC7-557BA5F7D74C}"/>
            </a:ext>
          </a:extLst>
        </xdr:cNvPr>
        <xdr:cNvSpPr>
          <a:spLocks noChangeShapeType="1"/>
        </xdr:cNvSpPr>
      </xdr:nvSpPr>
      <xdr:spPr bwMode="auto">
        <a:xfrm>
          <a:off x="2804160" y="1255014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228600</xdr:rowOff>
    </xdr:from>
    <xdr:to>
      <xdr:col>13</xdr:col>
      <xdr:colOff>0</xdr:colOff>
      <xdr:row>10</xdr:row>
      <xdr:rowOff>0</xdr:rowOff>
    </xdr:to>
    <xdr:sp macro="" textlink="">
      <xdr:nvSpPr>
        <xdr:cNvPr id="6" name="Line 10">
          <a:extLst>
            <a:ext uri="{FF2B5EF4-FFF2-40B4-BE49-F238E27FC236}">
              <a16:creationId xmlns:a16="http://schemas.microsoft.com/office/drawing/2014/main" id="{88FE7735-E5AB-4EE0-AD8A-C6A479C45736}"/>
            </a:ext>
          </a:extLst>
        </xdr:cNvPr>
        <xdr:cNvSpPr>
          <a:spLocks noChangeShapeType="1"/>
        </xdr:cNvSpPr>
      </xdr:nvSpPr>
      <xdr:spPr bwMode="auto">
        <a:xfrm>
          <a:off x="5455920" y="1546860"/>
          <a:ext cx="0" cy="75438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</xdr:col>
      <xdr:colOff>91440</xdr:colOff>
      <xdr:row>0</xdr:row>
      <xdr:rowOff>91440</xdr:rowOff>
    </xdr:from>
    <xdr:ext cx="807720" cy="518160"/>
    <xdr:pic>
      <xdr:nvPicPr>
        <xdr:cNvPr id="7" name="Picture 6" descr="C:\Users\DepEd\Desktop\New-DepEd-Official-Seal.jpg">
          <a:extLst>
            <a:ext uri="{FF2B5EF4-FFF2-40B4-BE49-F238E27FC236}">
              <a16:creationId xmlns:a16="http://schemas.microsoft.com/office/drawing/2014/main" id="{6E723AD6-A668-4299-BB0B-8C55B21A7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7140" y="91440"/>
          <a:ext cx="80772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2087880</xdr:colOff>
      <xdr:row>42</xdr:row>
      <xdr:rowOff>0</xdr:rowOff>
    </xdr:from>
    <xdr:to>
      <xdr:col>18</xdr:col>
      <xdr:colOff>655320</xdr:colOff>
      <xdr:row>42</xdr:row>
      <xdr:rowOff>0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C1891055-AE72-4CB7-9B13-97879E709E5F}"/>
            </a:ext>
          </a:extLst>
        </xdr:cNvPr>
        <xdr:cNvSpPr>
          <a:spLocks noChangeShapeType="1"/>
        </xdr:cNvSpPr>
      </xdr:nvSpPr>
      <xdr:spPr bwMode="auto">
        <a:xfrm>
          <a:off x="11765280" y="1255014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</xdr:row>
      <xdr:rowOff>228600</xdr:rowOff>
    </xdr:from>
    <xdr:to>
      <xdr:col>21</xdr:col>
      <xdr:colOff>0</xdr:colOff>
      <xdr:row>10</xdr:row>
      <xdr:rowOff>0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55A3A20D-365F-4545-BEA8-B5D09692823E}"/>
            </a:ext>
          </a:extLst>
        </xdr:cNvPr>
        <xdr:cNvSpPr>
          <a:spLocks noChangeShapeType="1"/>
        </xdr:cNvSpPr>
      </xdr:nvSpPr>
      <xdr:spPr bwMode="auto">
        <a:xfrm>
          <a:off x="14417040" y="1546860"/>
          <a:ext cx="0" cy="75438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20</xdr:col>
      <xdr:colOff>91440</xdr:colOff>
      <xdr:row>0</xdr:row>
      <xdr:rowOff>91440</xdr:rowOff>
    </xdr:from>
    <xdr:ext cx="807720" cy="518160"/>
    <xdr:pic>
      <xdr:nvPicPr>
        <xdr:cNvPr id="10" name="Picture 9" descr="C:\Users\DepEd\Desktop\New-DepEd-Official-Seal.jpg">
          <a:extLst>
            <a:ext uri="{FF2B5EF4-FFF2-40B4-BE49-F238E27FC236}">
              <a16:creationId xmlns:a16="http://schemas.microsoft.com/office/drawing/2014/main" id="{86CB7513-47A2-4E91-8B39-D34DAC039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8260" y="91440"/>
          <a:ext cx="80772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26</xdr:col>
      <xdr:colOff>2087880</xdr:colOff>
      <xdr:row>42</xdr:row>
      <xdr:rowOff>0</xdr:rowOff>
    </xdr:from>
    <xdr:to>
      <xdr:col>26</xdr:col>
      <xdr:colOff>655320</xdr:colOff>
      <xdr:row>42</xdr:row>
      <xdr:rowOff>0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57CA471-4813-4AB9-9769-781C725744FF}"/>
            </a:ext>
          </a:extLst>
        </xdr:cNvPr>
        <xdr:cNvSpPr>
          <a:spLocks noChangeShapeType="1"/>
        </xdr:cNvSpPr>
      </xdr:nvSpPr>
      <xdr:spPr bwMode="auto">
        <a:xfrm>
          <a:off x="20726400" y="1255014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6</xdr:row>
      <xdr:rowOff>228600</xdr:rowOff>
    </xdr:from>
    <xdr:to>
      <xdr:col>29</xdr:col>
      <xdr:colOff>0</xdr:colOff>
      <xdr:row>10</xdr:row>
      <xdr:rowOff>0</xdr:rowOff>
    </xdr:to>
    <xdr:sp macro="" textlink="">
      <xdr:nvSpPr>
        <xdr:cNvPr id="12" name="Line 10">
          <a:extLst>
            <a:ext uri="{FF2B5EF4-FFF2-40B4-BE49-F238E27FC236}">
              <a16:creationId xmlns:a16="http://schemas.microsoft.com/office/drawing/2014/main" id="{4B70A125-64F7-4041-A5B2-68C3198038C0}"/>
            </a:ext>
          </a:extLst>
        </xdr:cNvPr>
        <xdr:cNvSpPr>
          <a:spLocks noChangeShapeType="1"/>
        </xdr:cNvSpPr>
      </xdr:nvSpPr>
      <xdr:spPr bwMode="auto">
        <a:xfrm>
          <a:off x="23378160" y="1546860"/>
          <a:ext cx="0" cy="75438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28</xdr:col>
      <xdr:colOff>91440</xdr:colOff>
      <xdr:row>0</xdr:row>
      <xdr:rowOff>91440</xdr:rowOff>
    </xdr:from>
    <xdr:ext cx="807720" cy="518160"/>
    <xdr:pic>
      <xdr:nvPicPr>
        <xdr:cNvPr id="13" name="Picture 12" descr="C:\Users\DepEd\Desktop\New-DepEd-Official-Seal.jpg">
          <a:extLst>
            <a:ext uri="{FF2B5EF4-FFF2-40B4-BE49-F238E27FC236}">
              <a16:creationId xmlns:a16="http://schemas.microsoft.com/office/drawing/2014/main" id="{EA6BC388-7BE5-4685-B314-AB020EBFB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9380" y="91440"/>
          <a:ext cx="80772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34</xdr:col>
      <xdr:colOff>2087880</xdr:colOff>
      <xdr:row>42</xdr:row>
      <xdr:rowOff>0</xdr:rowOff>
    </xdr:from>
    <xdr:to>
      <xdr:col>34</xdr:col>
      <xdr:colOff>655320</xdr:colOff>
      <xdr:row>42</xdr:row>
      <xdr:rowOff>0</xdr:rowOff>
    </xdr:to>
    <xdr:sp macro="" textlink="">
      <xdr:nvSpPr>
        <xdr:cNvPr id="14" name="Line 5">
          <a:extLst>
            <a:ext uri="{FF2B5EF4-FFF2-40B4-BE49-F238E27FC236}">
              <a16:creationId xmlns:a16="http://schemas.microsoft.com/office/drawing/2014/main" id="{E8C64CBF-9897-4391-8926-9493D20D86D3}"/>
            </a:ext>
          </a:extLst>
        </xdr:cNvPr>
        <xdr:cNvSpPr>
          <a:spLocks noChangeShapeType="1"/>
        </xdr:cNvSpPr>
      </xdr:nvSpPr>
      <xdr:spPr bwMode="auto">
        <a:xfrm>
          <a:off x="29687520" y="1255014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6</xdr:row>
      <xdr:rowOff>228600</xdr:rowOff>
    </xdr:from>
    <xdr:to>
      <xdr:col>37</xdr:col>
      <xdr:colOff>0</xdr:colOff>
      <xdr:row>10</xdr:row>
      <xdr:rowOff>0</xdr:rowOff>
    </xdr:to>
    <xdr:sp macro="" textlink="">
      <xdr:nvSpPr>
        <xdr:cNvPr id="15" name="Line 10">
          <a:extLst>
            <a:ext uri="{FF2B5EF4-FFF2-40B4-BE49-F238E27FC236}">
              <a16:creationId xmlns:a16="http://schemas.microsoft.com/office/drawing/2014/main" id="{25FEEA1B-D7A5-409B-BB8A-D4A5AB9B700F}"/>
            </a:ext>
          </a:extLst>
        </xdr:cNvPr>
        <xdr:cNvSpPr>
          <a:spLocks noChangeShapeType="1"/>
        </xdr:cNvSpPr>
      </xdr:nvSpPr>
      <xdr:spPr bwMode="auto">
        <a:xfrm>
          <a:off x="32339280" y="1546860"/>
          <a:ext cx="0" cy="75438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36</xdr:col>
      <xdr:colOff>91440</xdr:colOff>
      <xdr:row>0</xdr:row>
      <xdr:rowOff>91440</xdr:rowOff>
    </xdr:from>
    <xdr:ext cx="807720" cy="518160"/>
    <xdr:pic>
      <xdr:nvPicPr>
        <xdr:cNvPr id="16" name="Picture 15" descr="C:\Users\DepEd\Desktop\New-DepEd-Official-Seal.jpg">
          <a:extLst>
            <a:ext uri="{FF2B5EF4-FFF2-40B4-BE49-F238E27FC236}">
              <a16:creationId xmlns:a16="http://schemas.microsoft.com/office/drawing/2014/main" id="{97DB2DD7-A640-480C-BE40-715A563D5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0" y="91440"/>
          <a:ext cx="80772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42</xdr:row>
      <xdr:rowOff>0</xdr:rowOff>
    </xdr:from>
    <xdr:to>
      <xdr:col>2</xdr:col>
      <xdr:colOff>655320</xdr:colOff>
      <xdr:row>42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248AB32B-A2CA-4EDB-8941-9778424293F6}"/>
            </a:ext>
          </a:extLst>
        </xdr:cNvPr>
        <xdr:cNvSpPr>
          <a:spLocks noChangeShapeType="1"/>
        </xdr:cNvSpPr>
      </xdr:nvSpPr>
      <xdr:spPr bwMode="auto">
        <a:xfrm>
          <a:off x="2804160" y="9715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78DD9E96-88BF-49C1-A4E4-84AEA1134A9D}"/>
            </a:ext>
          </a:extLst>
        </xdr:cNvPr>
        <xdr:cNvSpPr>
          <a:spLocks noChangeShapeType="1"/>
        </xdr:cNvSpPr>
      </xdr:nvSpPr>
      <xdr:spPr bwMode="auto">
        <a:xfrm>
          <a:off x="505206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15240</xdr:colOff>
      <xdr:row>0</xdr:row>
      <xdr:rowOff>121920</xdr:rowOff>
    </xdr:from>
    <xdr:ext cx="1005840" cy="825548"/>
    <xdr:pic>
      <xdr:nvPicPr>
        <xdr:cNvPr id="4" name="Picture 3" descr="C:\Users\DepEd\Desktop\New-DepEd-Official-Seal.jpg">
          <a:extLst>
            <a:ext uri="{FF2B5EF4-FFF2-40B4-BE49-F238E27FC236}">
              <a16:creationId xmlns:a16="http://schemas.microsoft.com/office/drawing/2014/main" id="{6C1CB195-4406-43EB-8B3D-8ABD04B4A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740" y="121920"/>
          <a:ext cx="1005840" cy="825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2087880</xdr:colOff>
      <xdr:row>42</xdr:row>
      <xdr:rowOff>0</xdr:rowOff>
    </xdr:from>
    <xdr:to>
      <xdr:col>10</xdr:col>
      <xdr:colOff>655320</xdr:colOff>
      <xdr:row>42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2B665135-A0E8-4D39-AB0A-6AA40DA16C65}"/>
            </a:ext>
          </a:extLst>
        </xdr:cNvPr>
        <xdr:cNvSpPr>
          <a:spLocks noChangeShapeType="1"/>
        </xdr:cNvSpPr>
      </xdr:nvSpPr>
      <xdr:spPr bwMode="auto">
        <a:xfrm>
          <a:off x="4381500" y="9715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228600</xdr:rowOff>
    </xdr:from>
    <xdr:to>
      <xdr:col>13</xdr:col>
      <xdr:colOff>0</xdr:colOff>
      <xdr:row>10</xdr:row>
      <xdr:rowOff>0</xdr:rowOff>
    </xdr:to>
    <xdr:sp macro="" textlink="">
      <xdr:nvSpPr>
        <xdr:cNvPr id="6" name="Line 10">
          <a:extLst>
            <a:ext uri="{FF2B5EF4-FFF2-40B4-BE49-F238E27FC236}">
              <a16:creationId xmlns:a16="http://schemas.microsoft.com/office/drawing/2014/main" id="{375CF5E5-216C-4636-BD14-52BCE661A1EB}"/>
            </a:ext>
          </a:extLst>
        </xdr:cNvPr>
        <xdr:cNvSpPr>
          <a:spLocks noChangeShapeType="1"/>
        </xdr:cNvSpPr>
      </xdr:nvSpPr>
      <xdr:spPr bwMode="auto">
        <a:xfrm>
          <a:off x="662940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1066800</xdr:colOff>
      <xdr:row>0</xdr:row>
      <xdr:rowOff>91440</xdr:rowOff>
    </xdr:from>
    <xdr:ext cx="1005840" cy="825548"/>
    <xdr:pic>
      <xdr:nvPicPr>
        <xdr:cNvPr id="7" name="Picture 6" descr="C:\Users\DepEd\Desktop\New-DepEd-Official-Seal.jpg">
          <a:extLst>
            <a:ext uri="{FF2B5EF4-FFF2-40B4-BE49-F238E27FC236}">
              <a16:creationId xmlns:a16="http://schemas.microsoft.com/office/drawing/2014/main" id="{9DA65831-B7EA-43D1-9D97-ABD4AB52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4140" y="91440"/>
          <a:ext cx="1005840" cy="825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2087880</xdr:colOff>
      <xdr:row>42</xdr:row>
      <xdr:rowOff>0</xdr:rowOff>
    </xdr:from>
    <xdr:to>
      <xdr:col>18</xdr:col>
      <xdr:colOff>655320</xdr:colOff>
      <xdr:row>42</xdr:row>
      <xdr:rowOff>0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E33FB4FE-80B5-4324-A56C-0CD303A17665}"/>
            </a:ext>
          </a:extLst>
        </xdr:cNvPr>
        <xdr:cNvSpPr>
          <a:spLocks noChangeShapeType="1"/>
        </xdr:cNvSpPr>
      </xdr:nvSpPr>
      <xdr:spPr bwMode="auto">
        <a:xfrm>
          <a:off x="14127480" y="9715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</xdr:row>
      <xdr:rowOff>228600</xdr:rowOff>
    </xdr:from>
    <xdr:to>
      <xdr:col>21</xdr:col>
      <xdr:colOff>0</xdr:colOff>
      <xdr:row>10</xdr:row>
      <xdr:rowOff>0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735402A7-CA8E-4CF7-B898-AD425F72CA3E}"/>
            </a:ext>
          </a:extLst>
        </xdr:cNvPr>
        <xdr:cNvSpPr>
          <a:spLocks noChangeShapeType="1"/>
        </xdr:cNvSpPr>
      </xdr:nvSpPr>
      <xdr:spPr bwMode="auto">
        <a:xfrm>
          <a:off x="1637538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76200</xdr:colOff>
      <xdr:row>0</xdr:row>
      <xdr:rowOff>83820</xdr:rowOff>
    </xdr:from>
    <xdr:ext cx="1005840" cy="825548"/>
    <xdr:pic>
      <xdr:nvPicPr>
        <xdr:cNvPr id="10" name="Picture 9" descr="C:\Users\DepEd\Desktop\New-DepEd-Official-Seal.jpg">
          <a:extLst>
            <a:ext uri="{FF2B5EF4-FFF2-40B4-BE49-F238E27FC236}">
              <a16:creationId xmlns:a16="http://schemas.microsoft.com/office/drawing/2014/main" id="{50F17361-2932-4AE5-89C5-46B681FF2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44860" y="83820"/>
          <a:ext cx="1005840" cy="825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26</xdr:col>
      <xdr:colOff>2087880</xdr:colOff>
      <xdr:row>42</xdr:row>
      <xdr:rowOff>0</xdr:rowOff>
    </xdr:from>
    <xdr:to>
      <xdr:col>26</xdr:col>
      <xdr:colOff>655320</xdr:colOff>
      <xdr:row>42</xdr:row>
      <xdr:rowOff>0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5317E4CA-7303-44D3-8584-5A7D934341B3}"/>
            </a:ext>
          </a:extLst>
        </xdr:cNvPr>
        <xdr:cNvSpPr>
          <a:spLocks noChangeShapeType="1"/>
        </xdr:cNvSpPr>
      </xdr:nvSpPr>
      <xdr:spPr bwMode="auto">
        <a:xfrm>
          <a:off x="23568660" y="9715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6</xdr:row>
      <xdr:rowOff>228600</xdr:rowOff>
    </xdr:from>
    <xdr:to>
      <xdr:col>29</xdr:col>
      <xdr:colOff>0</xdr:colOff>
      <xdr:row>10</xdr:row>
      <xdr:rowOff>0</xdr:rowOff>
    </xdr:to>
    <xdr:sp macro="" textlink="">
      <xdr:nvSpPr>
        <xdr:cNvPr id="12" name="Line 10">
          <a:extLst>
            <a:ext uri="{FF2B5EF4-FFF2-40B4-BE49-F238E27FC236}">
              <a16:creationId xmlns:a16="http://schemas.microsoft.com/office/drawing/2014/main" id="{F420E557-C689-443C-A8D0-71C96DAAB86B}"/>
            </a:ext>
          </a:extLst>
        </xdr:cNvPr>
        <xdr:cNvSpPr>
          <a:spLocks noChangeShapeType="1"/>
        </xdr:cNvSpPr>
      </xdr:nvSpPr>
      <xdr:spPr bwMode="auto">
        <a:xfrm>
          <a:off x="2581656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27</xdr:col>
      <xdr:colOff>129540</xdr:colOff>
      <xdr:row>0</xdr:row>
      <xdr:rowOff>91440</xdr:rowOff>
    </xdr:from>
    <xdr:ext cx="1005840" cy="825548"/>
    <xdr:pic>
      <xdr:nvPicPr>
        <xdr:cNvPr id="13" name="Picture 12" descr="C:\Users\DepEd\Desktop\New-DepEd-Official-Seal.jpg">
          <a:extLst>
            <a:ext uri="{FF2B5EF4-FFF2-40B4-BE49-F238E27FC236}">
              <a16:creationId xmlns:a16="http://schemas.microsoft.com/office/drawing/2014/main" id="{163EA420-7383-4474-84A0-4DC37FE6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97520" y="91440"/>
          <a:ext cx="1005840" cy="825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27</xdr:row>
      <xdr:rowOff>0</xdr:rowOff>
    </xdr:from>
    <xdr:to>
      <xdr:col>2</xdr:col>
      <xdr:colOff>655320</xdr:colOff>
      <xdr:row>27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D9429DF3-001E-4312-A0E3-D198C0F59690}"/>
            </a:ext>
          </a:extLst>
        </xdr:cNvPr>
        <xdr:cNvSpPr>
          <a:spLocks noChangeShapeType="1"/>
        </xdr:cNvSpPr>
      </xdr:nvSpPr>
      <xdr:spPr bwMode="auto">
        <a:xfrm>
          <a:off x="2804160" y="9715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992ED5D3-78BD-4503-B208-429B0F6D381D}"/>
            </a:ext>
          </a:extLst>
        </xdr:cNvPr>
        <xdr:cNvSpPr>
          <a:spLocks noChangeShapeType="1"/>
        </xdr:cNvSpPr>
      </xdr:nvSpPr>
      <xdr:spPr bwMode="auto">
        <a:xfrm>
          <a:off x="505206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91440</xdr:colOff>
      <xdr:row>0</xdr:row>
      <xdr:rowOff>106680</xdr:rowOff>
    </xdr:from>
    <xdr:ext cx="1005840" cy="825548"/>
    <xdr:pic>
      <xdr:nvPicPr>
        <xdr:cNvPr id="4" name="Picture 3" descr="C:\Users\DepEd\Desktop\New-DepEd-Official-Seal.jpg">
          <a:extLst>
            <a:ext uri="{FF2B5EF4-FFF2-40B4-BE49-F238E27FC236}">
              <a16:creationId xmlns:a16="http://schemas.microsoft.com/office/drawing/2014/main" id="{4890580A-EFE5-4CBE-BF5B-1DA18A4C1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620" y="106680"/>
          <a:ext cx="1005840" cy="825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2087880</xdr:colOff>
      <xdr:row>27</xdr:row>
      <xdr:rowOff>0</xdr:rowOff>
    </xdr:from>
    <xdr:to>
      <xdr:col>10</xdr:col>
      <xdr:colOff>655320</xdr:colOff>
      <xdr:row>27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FEFBF37F-3772-4D6F-841D-D7B2EFBDE1BC}"/>
            </a:ext>
          </a:extLst>
        </xdr:cNvPr>
        <xdr:cNvSpPr>
          <a:spLocks noChangeShapeType="1"/>
        </xdr:cNvSpPr>
      </xdr:nvSpPr>
      <xdr:spPr bwMode="auto">
        <a:xfrm>
          <a:off x="4488180" y="108204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228600</xdr:rowOff>
    </xdr:from>
    <xdr:to>
      <xdr:col>13</xdr:col>
      <xdr:colOff>0</xdr:colOff>
      <xdr:row>10</xdr:row>
      <xdr:rowOff>0</xdr:rowOff>
    </xdr:to>
    <xdr:sp macro="" textlink="">
      <xdr:nvSpPr>
        <xdr:cNvPr id="6" name="Line 10">
          <a:extLst>
            <a:ext uri="{FF2B5EF4-FFF2-40B4-BE49-F238E27FC236}">
              <a16:creationId xmlns:a16="http://schemas.microsoft.com/office/drawing/2014/main" id="{016FE8E4-3BCF-45E8-B268-B60F936F1033}"/>
            </a:ext>
          </a:extLst>
        </xdr:cNvPr>
        <xdr:cNvSpPr>
          <a:spLocks noChangeShapeType="1"/>
        </xdr:cNvSpPr>
      </xdr:nvSpPr>
      <xdr:spPr bwMode="auto">
        <a:xfrm>
          <a:off x="737616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60960</xdr:colOff>
      <xdr:row>0</xdr:row>
      <xdr:rowOff>83820</xdr:rowOff>
    </xdr:from>
    <xdr:ext cx="1005840" cy="825548"/>
    <xdr:pic>
      <xdr:nvPicPr>
        <xdr:cNvPr id="7" name="Picture 6" descr="C:\Users\DepEd\Desktop\New-DepEd-Official-Seal.jpg">
          <a:extLst>
            <a:ext uri="{FF2B5EF4-FFF2-40B4-BE49-F238E27FC236}">
              <a16:creationId xmlns:a16="http://schemas.microsoft.com/office/drawing/2014/main" id="{54702FE3-BC49-4AB2-BC02-C5752979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46680" y="83820"/>
          <a:ext cx="1005840" cy="825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42</xdr:row>
      <xdr:rowOff>0</xdr:rowOff>
    </xdr:from>
    <xdr:to>
      <xdr:col>2</xdr:col>
      <xdr:colOff>655320</xdr:colOff>
      <xdr:row>42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84DB1013-17F8-4ED3-AD47-4656C799F68E}"/>
            </a:ext>
          </a:extLst>
        </xdr:cNvPr>
        <xdr:cNvSpPr>
          <a:spLocks noChangeShapeType="1"/>
        </xdr:cNvSpPr>
      </xdr:nvSpPr>
      <xdr:spPr bwMode="auto">
        <a:xfrm>
          <a:off x="3253740" y="9715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125FB7EB-288E-40D0-B41A-72AE2EC4989E}"/>
            </a:ext>
          </a:extLst>
        </xdr:cNvPr>
        <xdr:cNvSpPr>
          <a:spLocks noChangeShapeType="1"/>
        </xdr:cNvSpPr>
      </xdr:nvSpPr>
      <xdr:spPr bwMode="auto">
        <a:xfrm>
          <a:off x="590550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91440</xdr:colOff>
      <xdr:row>0</xdr:row>
      <xdr:rowOff>91440</xdr:rowOff>
    </xdr:from>
    <xdr:ext cx="807720" cy="662940"/>
    <xdr:pic>
      <xdr:nvPicPr>
        <xdr:cNvPr id="4" name="Picture 3" descr="C:\Users\DepEd\Desktop\New-DepEd-Official-Seal.jpg">
          <a:extLst>
            <a:ext uri="{FF2B5EF4-FFF2-40B4-BE49-F238E27FC236}">
              <a16:creationId xmlns:a16="http://schemas.microsoft.com/office/drawing/2014/main" id="{E9CF210E-7318-48AD-9383-44811E6DF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720" y="91440"/>
          <a:ext cx="80772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42</xdr:row>
      <xdr:rowOff>0</xdr:rowOff>
    </xdr:from>
    <xdr:to>
      <xdr:col>2</xdr:col>
      <xdr:colOff>655320</xdr:colOff>
      <xdr:row>42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EADF3FCD-C9AB-4D3F-ADD4-1F1464831AEF}"/>
            </a:ext>
          </a:extLst>
        </xdr:cNvPr>
        <xdr:cNvSpPr>
          <a:spLocks noChangeShapeType="1"/>
        </xdr:cNvSpPr>
      </xdr:nvSpPr>
      <xdr:spPr bwMode="auto">
        <a:xfrm>
          <a:off x="38648640" y="1255014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23BE5B10-14EC-4A79-9407-FC040E016F27}"/>
            </a:ext>
          </a:extLst>
        </xdr:cNvPr>
        <xdr:cNvSpPr>
          <a:spLocks noChangeShapeType="1"/>
        </xdr:cNvSpPr>
      </xdr:nvSpPr>
      <xdr:spPr bwMode="auto">
        <a:xfrm>
          <a:off x="41300400" y="1546860"/>
          <a:ext cx="0" cy="75438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213360</xdr:colOff>
      <xdr:row>0</xdr:row>
      <xdr:rowOff>83820</xdr:rowOff>
    </xdr:from>
    <xdr:ext cx="1005840" cy="825548"/>
    <xdr:pic>
      <xdr:nvPicPr>
        <xdr:cNvPr id="4" name="Picture 3" descr="C:\Users\DepEd\Desktop\New-DepEd-Official-Seal.jpg">
          <a:extLst>
            <a:ext uri="{FF2B5EF4-FFF2-40B4-BE49-F238E27FC236}">
              <a16:creationId xmlns:a16="http://schemas.microsoft.com/office/drawing/2014/main" id="{D57D6774-49A7-4B33-AC67-88B11D3AA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3820"/>
          <a:ext cx="1005840" cy="825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36</xdr:row>
      <xdr:rowOff>0</xdr:rowOff>
    </xdr:from>
    <xdr:to>
      <xdr:col>2</xdr:col>
      <xdr:colOff>655320</xdr:colOff>
      <xdr:row>36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F66B81C8-A53A-446F-BC87-A0B0C0DF0874}"/>
            </a:ext>
          </a:extLst>
        </xdr:cNvPr>
        <xdr:cNvSpPr>
          <a:spLocks noChangeShapeType="1"/>
        </xdr:cNvSpPr>
      </xdr:nvSpPr>
      <xdr:spPr bwMode="auto">
        <a:xfrm>
          <a:off x="3253740" y="83439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FE2F0494-E90D-4D29-8E7E-A8573491154A}"/>
            </a:ext>
          </a:extLst>
        </xdr:cNvPr>
        <xdr:cNvSpPr>
          <a:spLocks noChangeShapeType="1"/>
        </xdr:cNvSpPr>
      </xdr:nvSpPr>
      <xdr:spPr bwMode="auto">
        <a:xfrm>
          <a:off x="590550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731520</xdr:colOff>
      <xdr:row>0</xdr:row>
      <xdr:rowOff>68580</xdr:rowOff>
    </xdr:from>
    <xdr:ext cx="906780" cy="777240"/>
    <xdr:pic>
      <xdr:nvPicPr>
        <xdr:cNvPr id="4" name="Picture 3" descr="C:\Users\DepEd\Desktop\New-DepEd-Official-Seal.jpg">
          <a:extLst>
            <a:ext uri="{FF2B5EF4-FFF2-40B4-BE49-F238E27FC236}">
              <a16:creationId xmlns:a16="http://schemas.microsoft.com/office/drawing/2014/main" id="{70BA38CE-6D3C-49FF-9F9A-0FD8C7C44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5260" y="68580"/>
          <a:ext cx="90678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2087880</xdr:colOff>
      <xdr:row>36</xdr:row>
      <xdr:rowOff>0</xdr:rowOff>
    </xdr:from>
    <xdr:to>
      <xdr:col>10</xdr:col>
      <xdr:colOff>655320</xdr:colOff>
      <xdr:row>36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AF9BFA88-970D-446D-AA4C-BA6C5D326243}"/>
            </a:ext>
          </a:extLst>
        </xdr:cNvPr>
        <xdr:cNvSpPr>
          <a:spLocks noChangeShapeType="1"/>
        </xdr:cNvSpPr>
      </xdr:nvSpPr>
      <xdr:spPr bwMode="auto">
        <a:xfrm>
          <a:off x="12717780" y="83439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228600</xdr:rowOff>
    </xdr:from>
    <xdr:to>
      <xdr:col>13</xdr:col>
      <xdr:colOff>0</xdr:colOff>
      <xdr:row>10</xdr:row>
      <xdr:rowOff>0</xdr:rowOff>
    </xdr:to>
    <xdr:sp macro="" textlink="">
      <xdr:nvSpPr>
        <xdr:cNvPr id="6" name="Line 10">
          <a:extLst>
            <a:ext uri="{FF2B5EF4-FFF2-40B4-BE49-F238E27FC236}">
              <a16:creationId xmlns:a16="http://schemas.microsoft.com/office/drawing/2014/main" id="{886BB8E5-9D2E-4FFB-9A99-2744870060E0}"/>
            </a:ext>
          </a:extLst>
        </xdr:cNvPr>
        <xdr:cNvSpPr>
          <a:spLocks noChangeShapeType="1"/>
        </xdr:cNvSpPr>
      </xdr:nvSpPr>
      <xdr:spPr bwMode="auto">
        <a:xfrm>
          <a:off x="1536954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617220</xdr:colOff>
      <xdr:row>0</xdr:row>
      <xdr:rowOff>152400</xdr:rowOff>
    </xdr:from>
    <xdr:ext cx="807720" cy="662940"/>
    <xdr:pic>
      <xdr:nvPicPr>
        <xdr:cNvPr id="7" name="Picture 6" descr="C:\Users\DepEd\Desktop\New-DepEd-Official-Seal.jpg">
          <a:extLst>
            <a:ext uri="{FF2B5EF4-FFF2-40B4-BE49-F238E27FC236}">
              <a16:creationId xmlns:a16="http://schemas.microsoft.com/office/drawing/2014/main" id="{0749BFF8-33C5-4282-BBDE-B3E028D6C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152400"/>
          <a:ext cx="80772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37</xdr:row>
      <xdr:rowOff>0</xdr:rowOff>
    </xdr:from>
    <xdr:to>
      <xdr:col>2</xdr:col>
      <xdr:colOff>655320</xdr:colOff>
      <xdr:row>37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C6FFB1FD-D83D-4F8E-85AB-4E513A7D1734}"/>
            </a:ext>
          </a:extLst>
        </xdr:cNvPr>
        <xdr:cNvSpPr>
          <a:spLocks noChangeShapeType="1"/>
        </xdr:cNvSpPr>
      </xdr:nvSpPr>
      <xdr:spPr bwMode="auto">
        <a:xfrm>
          <a:off x="3253740" y="83439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68B38938-51FD-4C3F-8F76-C7E81620551E}"/>
            </a:ext>
          </a:extLst>
        </xdr:cNvPr>
        <xdr:cNvSpPr>
          <a:spLocks noChangeShapeType="1"/>
        </xdr:cNvSpPr>
      </xdr:nvSpPr>
      <xdr:spPr bwMode="auto">
        <a:xfrm>
          <a:off x="590550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731520</xdr:colOff>
      <xdr:row>0</xdr:row>
      <xdr:rowOff>68580</xdr:rowOff>
    </xdr:from>
    <xdr:ext cx="906780" cy="777240"/>
    <xdr:pic>
      <xdr:nvPicPr>
        <xdr:cNvPr id="4" name="Picture 3" descr="C:\Users\DepEd\Desktop\New-DepEd-Official-Seal.jpg">
          <a:extLst>
            <a:ext uri="{FF2B5EF4-FFF2-40B4-BE49-F238E27FC236}">
              <a16:creationId xmlns:a16="http://schemas.microsoft.com/office/drawing/2014/main" id="{5200CA1C-D34C-4E4F-B20F-0D9A1C531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5260" y="68580"/>
          <a:ext cx="90678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2087880</xdr:colOff>
      <xdr:row>37</xdr:row>
      <xdr:rowOff>0</xdr:rowOff>
    </xdr:from>
    <xdr:to>
      <xdr:col>10</xdr:col>
      <xdr:colOff>655320</xdr:colOff>
      <xdr:row>37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A2578C7A-945A-4DC8-AE5C-C79E503E8F64}"/>
            </a:ext>
          </a:extLst>
        </xdr:cNvPr>
        <xdr:cNvSpPr>
          <a:spLocks noChangeShapeType="1"/>
        </xdr:cNvSpPr>
      </xdr:nvSpPr>
      <xdr:spPr bwMode="auto">
        <a:xfrm>
          <a:off x="12717780" y="83439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228600</xdr:rowOff>
    </xdr:from>
    <xdr:to>
      <xdr:col>13</xdr:col>
      <xdr:colOff>0</xdr:colOff>
      <xdr:row>10</xdr:row>
      <xdr:rowOff>0</xdr:rowOff>
    </xdr:to>
    <xdr:sp macro="" textlink="">
      <xdr:nvSpPr>
        <xdr:cNvPr id="6" name="Line 10">
          <a:extLst>
            <a:ext uri="{FF2B5EF4-FFF2-40B4-BE49-F238E27FC236}">
              <a16:creationId xmlns:a16="http://schemas.microsoft.com/office/drawing/2014/main" id="{6828AE41-AA33-4765-BF18-3D348F6BA800}"/>
            </a:ext>
          </a:extLst>
        </xdr:cNvPr>
        <xdr:cNvSpPr>
          <a:spLocks noChangeShapeType="1"/>
        </xdr:cNvSpPr>
      </xdr:nvSpPr>
      <xdr:spPr bwMode="auto">
        <a:xfrm>
          <a:off x="1536954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601980</xdr:colOff>
      <xdr:row>0</xdr:row>
      <xdr:rowOff>106680</xdr:rowOff>
    </xdr:from>
    <xdr:ext cx="838200" cy="784860"/>
    <xdr:pic>
      <xdr:nvPicPr>
        <xdr:cNvPr id="7" name="Picture 6" descr="C:\Users\DepEd\Desktop\New-DepEd-Official-Seal.jpg">
          <a:extLst>
            <a:ext uri="{FF2B5EF4-FFF2-40B4-BE49-F238E27FC236}">
              <a16:creationId xmlns:a16="http://schemas.microsoft.com/office/drawing/2014/main" id="{8617AE8E-C2DD-4607-8BC5-1FDFF1CB7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9760" y="106680"/>
          <a:ext cx="8382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2087880</xdr:colOff>
      <xdr:row>37</xdr:row>
      <xdr:rowOff>0</xdr:rowOff>
    </xdr:from>
    <xdr:to>
      <xdr:col>10</xdr:col>
      <xdr:colOff>655320</xdr:colOff>
      <xdr:row>37</xdr:row>
      <xdr:rowOff>0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48236932-F968-4A8B-9982-B36B8FEB4EBA}"/>
            </a:ext>
          </a:extLst>
        </xdr:cNvPr>
        <xdr:cNvSpPr>
          <a:spLocks noChangeShapeType="1"/>
        </xdr:cNvSpPr>
      </xdr:nvSpPr>
      <xdr:spPr bwMode="auto">
        <a:xfrm>
          <a:off x="3253740" y="8572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228600</xdr:rowOff>
    </xdr:from>
    <xdr:to>
      <xdr:col>13</xdr:col>
      <xdr:colOff>0</xdr:colOff>
      <xdr:row>10</xdr:row>
      <xdr:rowOff>0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FE6EC0D2-C7F9-4AAA-ABDF-4EA9968E191B}"/>
            </a:ext>
          </a:extLst>
        </xdr:cNvPr>
        <xdr:cNvSpPr>
          <a:spLocks noChangeShapeType="1"/>
        </xdr:cNvSpPr>
      </xdr:nvSpPr>
      <xdr:spPr bwMode="auto">
        <a:xfrm>
          <a:off x="590550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731520</xdr:colOff>
      <xdr:row>0</xdr:row>
      <xdr:rowOff>68580</xdr:rowOff>
    </xdr:from>
    <xdr:ext cx="906780" cy="777240"/>
    <xdr:pic>
      <xdr:nvPicPr>
        <xdr:cNvPr id="10" name="Picture 9" descr="C:\Users\DepEd\Desktop\New-DepEd-Official-Seal.jpg">
          <a:extLst>
            <a:ext uri="{FF2B5EF4-FFF2-40B4-BE49-F238E27FC236}">
              <a16:creationId xmlns:a16="http://schemas.microsoft.com/office/drawing/2014/main" id="{B9DF187B-0A02-48A3-B94B-855CC846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5260" y="68580"/>
          <a:ext cx="90678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2087880</xdr:colOff>
      <xdr:row>37</xdr:row>
      <xdr:rowOff>0</xdr:rowOff>
    </xdr:from>
    <xdr:to>
      <xdr:col>18</xdr:col>
      <xdr:colOff>655320</xdr:colOff>
      <xdr:row>37</xdr:row>
      <xdr:rowOff>0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82B0141D-83B8-4288-98ED-F0319A0ED550}"/>
            </a:ext>
          </a:extLst>
        </xdr:cNvPr>
        <xdr:cNvSpPr>
          <a:spLocks noChangeShapeType="1"/>
        </xdr:cNvSpPr>
      </xdr:nvSpPr>
      <xdr:spPr bwMode="auto">
        <a:xfrm>
          <a:off x="12717780" y="8572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</xdr:row>
      <xdr:rowOff>228600</xdr:rowOff>
    </xdr:from>
    <xdr:to>
      <xdr:col>21</xdr:col>
      <xdr:colOff>0</xdr:colOff>
      <xdr:row>10</xdr:row>
      <xdr:rowOff>0</xdr:rowOff>
    </xdr:to>
    <xdr:sp macro="" textlink="">
      <xdr:nvSpPr>
        <xdr:cNvPr id="12" name="Line 10">
          <a:extLst>
            <a:ext uri="{FF2B5EF4-FFF2-40B4-BE49-F238E27FC236}">
              <a16:creationId xmlns:a16="http://schemas.microsoft.com/office/drawing/2014/main" id="{A53E70AD-75C9-4AE4-B3E7-DEF842BB4C7D}"/>
            </a:ext>
          </a:extLst>
        </xdr:cNvPr>
        <xdr:cNvSpPr>
          <a:spLocks noChangeShapeType="1"/>
        </xdr:cNvSpPr>
      </xdr:nvSpPr>
      <xdr:spPr bwMode="auto">
        <a:xfrm>
          <a:off x="1536954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601980</xdr:colOff>
      <xdr:row>0</xdr:row>
      <xdr:rowOff>106680</xdr:rowOff>
    </xdr:from>
    <xdr:ext cx="838200" cy="784860"/>
    <xdr:pic>
      <xdr:nvPicPr>
        <xdr:cNvPr id="13" name="Picture 12" descr="C:\Users\DepEd\Desktop\New-DepEd-Official-Seal.jpg">
          <a:extLst>
            <a:ext uri="{FF2B5EF4-FFF2-40B4-BE49-F238E27FC236}">
              <a16:creationId xmlns:a16="http://schemas.microsoft.com/office/drawing/2014/main" id="{BD216029-B5EE-414B-B3EB-C5C111D6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9760" y="106680"/>
          <a:ext cx="8382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2087880</xdr:colOff>
      <xdr:row>37</xdr:row>
      <xdr:rowOff>0</xdr:rowOff>
    </xdr:from>
    <xdr:to>
      <xdr:col>18</xdr:col>
      <xdr:colOff>655320</xdr:colOff>
      <xdr:row>37</xdr:row>
      <xdr:rowOff>0</xdr:rowOff>
    </xdr:to>
    <xdr:sp macro="" textlink="">
      <xdr:nvSpPr>
        <xdr:cNvPr id="14" name="Line 5">
          <a:extLst>
            <a:ext uri="{FF2B5EF4-FFF2-40B4-BE49-F238E27FC236}">
              <a16:creationId xmlns:a16="http://schemas.microsoft.com/office/drawing/2014/main" id="{CCCF073C-FD18-4E1E-818B-4B35996E05B4}"/>
            </a:ext>
          </a:extLst>
        </xdr:cNvPr>
        <xdr:cNvSpPr>
          <a:spLocks noChangeShapeType="1"/>
        </xdr:cNvSpPr>
      </xdr:nvSpPr>
      <xdr:spPr bwMode="auto">
        <a:xfrm>
          <a:off x="12717780" y="8572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</xdr:row>
      <xdr:rowOff>228600</xdr:rowOff>
    </xdr:from>
    <xdr:to>
      <xdr:col>21</xdr:col>
      <xdr:colOff>0</xdr:colOff>
      <xdr:row>10</xdr:row>
      <xdr:rowOff>0</xdr:rowOff>
    </xdr:to>
    <xdr:sp macro="" textlink="">
      <xdr:nvSpPr>
        <xdr:cNvPr id="15" name="Line 10">
          <a:extLst>
            <a:ext uri="{FF2B5EF4-FFF2-40B4-BE49-F238E27FC236}">
              <a16:creationId xmlns:a16="http://schemas.microsoft.com/office/drawing/2014/main" id="{AF405A1E-B2E3-42B5-B9A2-2A06EB391EE6}"/>
            </a:ext>
          </a:extLst>
        </xdr:cNvPr>
        <xdr:cNvSpPr>
          <a:spLocks noChangeShapeType="1"/>
        </xdr:cNvSpPr>
      </xdr:nvSpPr>
      <xdr:spPr bwMode="auto">
        <a:xfrm>
          <a:off x="1536954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731520</xdr:colOff>
      <xdr:row>0</xdr:row>
      <xdr:rowOff>68580</xdr:rowOff>
    </xdr:from>
    <xdr:ext cx="906780" cy="777240"/>
    <xdr:pic>
      <xdr:nvPicPr>
        <xdr:cNvPr id="16" name="Picture 15" descr="C:\Users\DepEd\Desktop\New-DepEd-Official-Seal.jpg">
          <a:extLst>
            <a:ext uri="{FF2B5EF4-FFF2-40B4-BE49-F238E27FC236}">
              <a16:creationId xmlns:a16="http://schemas.microsoft.com/office/drawing/2014/main" id="{297DF26E-ADCB-4A85-97AF-24C29C42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9300" y="68580"/>
          <a:ext cx="90678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36</xdr:row>
      <xdr:rowOff>0</xdr:rowOff>
    </xdr:from>
    <xdr:to>
      <xdr:col>2</xdr:col>
      <xdr:colOff>655320</xdr:colOff>
      <xdr:row>36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C41B5051-7929-43A7-A7C0-42FFAFC2A8A0}"/>
            </a:ext>
          </a:extLst>
        </xdr:cNvPr>
        <xdr:cNvSpPr>
          <a:spLocks noChangeShapeType="1"/>
        </xdr:cNvSpPr>
      </xdr:nvSpPr>
      <xdr:spPr bwMode="auto">
        <a:xfrm>
          <a:off x="3253740" y="97155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BF1087FC-93AE-4840-BFC7-5632722E80C0}"/>
            </a:ext>
          </a:extLst>
        </xdr:cNvPr>
        <xdr:cNvSpPr>
          <a:spLocks noChangeShapeType="1"/>
        </xdr:cNvSpPr>
      </xdr:nvSpPr>
      <xdr:spPr bwMode="auto">
        <a:xfrm>
          <a:off x="590550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731520</xdr:colOff>
      <xdr:row>0</xdr:row>
      <xdr:rowOff>68580</xdr:rowOff>
    </xdr:from>
    <xdr:ext cx="906780" cy="777240"/>
    <xdr:pic>
      <xdr:nvPicPr>
        <xdr:cNvPr id="4" name="Picture 3" descr="C:\Users\DepEd\Desktop\New-DepEd-Official-Seal.jpg">
          <a:extLst>
            <a:ext uri="{FF2B5EF4-FFF2-40B4-BE49-F238E27FC236}">
              <a16:creationId xmlns:a16="http://schemas.microsoft.com/office/drawing/2014/main" id="{FE897DE9-D406-4137-B972-5BA92505C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5260" y="68580"/>
          <a:ext cx="90678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2087880</xdr:colOff>
      <xdr:row>36</xdr:row>
      <xdr:rowOff>0</xdr:rowOff>
    </xdr:from>
    <xdr:to>
      <xdr:col>10</xdr:col>
      <xdr:colOff>655320</xdr:colOff>
      <xdr:row>36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6B33D796-EAD4-481F-9855-121432693ABC}"/>
            </a:ext>
          </a:extLst>
        </xdr:cNvPr>
        <xdr:cNvSpPr>
          <a:spLocks noChangeShapeType="1"/>
        </xdr:cNvSpPr>
      </xdr:nvSpPr>
      <xdr:spPr bwMode="auto">
        <a:xfrm>
          <a:off x="3253740" y="83439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228600</xdr:rowOff>
    </xdr:from>
    <xdr:to>
      <xdr:col>13</xdr:col>
      <xdr:colOff>0</xdr:colOff>
      <xdr:row>10</xdr:row>
      <xdr:rowOff>0</xdr:rowOff>
    </xdr:to>
    <xdr:sp macro="" textlink="">
      <xdr:nvSpPr>
        <xdr:cNvPr id="6" name="Line 10">
          <a:extLst>
            <a:ext uri="{FF2B5EF4-FFF2-40B4-BE49-F238E27FC236}">
              <a16:creationId xmlns:a16="http://schemas.microsoft.com/office/drawing/2014/main" id="{9635C59E-ADDB-4583-A1B3-D8484C3DA274}"/>
            </a:ext>
          </a:extLst>
        </xdr:cNvPr>
        <xdr:cNvSpPr>
          <a:spLocks noChangeShapeType="1"/>
        </xdr:cNvSpPr>
      </xdr:nvSpPr>
      <xdr:spPr bwMode="auto">
        <a:xfrm>
          <a:off x="590550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601980</xdr:colOff>
      <xdr:row>0</xdr:row>
      <xdr:rowOff>106680</xdr:rowOff>
    </xdr:from>
    <xdr:ext cx="838200" cy="784860"/>
    <xdr:pic>
      <xdr:nvPicPr>
        <xdr:cNvPr id="7" name="Picture 6" descr="C:\Users\DepEd\Desktop\New-DepEd-Official-Seal.jpg">
          <a:extLst>
            <a:ext uri="{FF2B5EF4-FFF2-40B4-BE49-F238E27FC236}">
              <a16:creationId xmlns:a16="http://schemas.microsoft.com/office/drawing/2014/main" id="{2A18A668-52C9-42C7-8754-1C7F4819B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9760" y="106680"/>
          <a:ext cx="8382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2087880</xdr:colOff>
      <xdr:row>37</xdr:row>
      <xdr:rowOff>0</xdr:rowOff>
    </xdr:from>
    <xdr:to>
      <xdr:col>2</xdr:col>
      <xdr:colOff>655320</xdr:colOff>
      <xdr:row>37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B982A2FF-8879-4856-AC49-128227499173}"/>
            </a:ext>
          </a:extLst>
        </xdr:cNvPr>
        <xdr:cNvSpPr>
          <a:spLocks noChangeShapeType="1"/>
        </xdr:cNvSpPr>
      </xdr:nvSpPr>
      <xdr:spPr bwMode="auto">
        <a:xfrm>
          <a:off x="3253740" y="83439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228600</xdr:rowOff>
    </xdr:from>
    <xdr:to>
      <xdr:col>5</xdr:col>
      <xdr:colOff>0</xdr:colOff>
      <xdr:row>10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4B583BD4-518C-4F27-B305-4DDA81386142}"/>
            </a:ext>
          </a:extLst>
        </xdr:cNvPr>
        <xdr:cNvSpPr>
          <a:spLocks noChangeShapeType="1"/>
        </xdr:cNvSpPr>
      </xdr:nvSpPr>
      <xdr:spPr bwMode="auto">
        <a:xfrm>
          <a:off x="590550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731520</xdr:colOff>
      <xdr:row>0</xdr:row>
      <xdr:rowOff>68580</xdr:rowOff>
    </xdr:from>
    <xdr:ext cx="906780" cy="777240"/>
    <xdr:pic>
      <xdr:nvPicPr>
        <xdr:cNvPr id="4" name="Picture 3" descr="C:\Users\DepEd\Desktop\New-DepEd-Official-Seal.jpg">
          <a:extLst>
            <a:ext uri="{FF2B5EF4-FFF2-40B4-BE49-F238E27FC236}">
              <a16:creationId xmlns:a16="http://schemas.microsoft.com/office/drawing/2014/main" id="{1E191740-26AE-4FA2-BBDB-7377BD3ED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5260" y="68580"/>
          <a:ext cx="90678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2087880</xdr:colOff>
      <xdr:row>37</xdr:row>
      <xdr:rowOff>0</xdr:rowOff>
    </xdr:from>
    <xdr:to>
      <xdr:col>10</xdr:col>
      <xdr:colOff>655320</xdr:colOff>
      <xdr:row>37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83F7501B-80EC-49DF-A4CE-5290D28CBA74}"/>
            </a:ext>
          </a:extLst>
        </xdr:cNvPr>
        <xdr:cNvSpPr>
          <a:spLocks noChangeShapeType="1"/>
        </xdr:cNvSpPr>
      </xdr:nvSpPr>
      <xdr:spPr bwMode="auto">
        <a:xfrm>
          <a:off x="12717780" y="83439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6</xdr:row>
      <xdr:rowOff>228600</xdr:rowOff>
    </xdr:from>
    <xdr:to>
      <xdr:col>13</xdr:col>
      <xdr:colOff>0</xdr:colOff>
      <xdr:row>10</xdr:row>
      <xdr:rowOff>0</xdr:rowOff>
    </xdr:to>
    <xdr:sp macro="" textlink="">
      <xdr:nvSpPr>
        <xdr:cNvPr id="6" name="Line 10">
          <a:extLst>
            <a:ext uri="{FF2B5EF4-FFF2-40B4-BE49-F238E27FC236}">
              <a16:creationId xmlns:a16="http://schemas.microsoft.com/office/drawing/2014/main" id="{FCC1818E-9FA4-4DC3-A308-58CD0B0BE8B8}"/>
            </a:ext>
          </a:extLst>
        </xdr:cNvPr>
        <xdr:cNvSpPr>
          <a:spLocks noChangeShapeType="1"/>
        </xdr:cNvSpPr>
      </xdr:nvSpPr>
      <xdr:spPr bwMode="auto">
        <a:xfrm>
          <a:off x="15369540" y="1775460"/>
          <a:ext cx="0" cy="66294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601980</xdr:colOff>
      <xdr:row>0</xdr:row>
      <xdr:rowOff>106680</xdr:rowOff>
    </xdr:from>
    <xdr:ext cx="838200" cy="784860"/>
    <xdr:pic>
      <xdr:nvPicPr>
        <xdr:cNvPr id="7" name="Picture 6" descr="C:\Users\DepEd\Desktop\New-DepEd-Official-Seal.jpg">
          <a:extLst>
            <a:ext uri="{FF2B5EF4-FFF2-40B4-BE49-F238E27FC236}">
              <a16:creationId xmlns:a16="http://schemas.microsoft.com/office/drawing/2014/main" id="{BBBBCF71-AB9B-4C98-9B49-07B929A0E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9760" y="106680"/>
          <a:ext cx="8382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7251-2DB3-45FB-AF4D-F89F05C5A729}">
  <dimension ref="A1:AM49"/>
  <sheetViews>
    <sheetView topLeftCell="AC7" workbookViewId="0">
      <selection activeCell="AG7" sqref="AG1:AM1048576"/>
    </sheetView>
  </sheetViews>
  <sheetFormatPr defaultRowHeight="14.4" x14ac:dyDescent="0.3"/>
  <cols>
    <col min="1" max="1" width="12.33203125" customWidth="1"/>
    <col min="2" max="2" width="15.5546875" customWidth="1"/>
    <col min="3" max="4" width="13" customWidth="1"/>
    <col min="5" max="5" width="25.6640625" customWidth="1"/>
    <col min="6" max="6" width="17.44140625" customWidth="1"/>
    <col min="7" max="7" width="24.77734375" customWidth="1"/>
    <col min="9" max="9" width="12.33203125" customWidth="1"/>
    <col min="10" max="10" width="15.5546875" customWidth="1"/>
    <col min="11" max="12" width="13" customWidth="1"/>
    <col min="13" max="13" width="25.6640625" customWidth="1"/>
    <col min="14" max="14" width="17.44140625" customWidth="1"/>
    <col min="15" max="15" width="24.77734375" customWidth="1"/>
    <col min="17" max="17" width="12.33203125" customWidth="1"/>
    <col min="18" max="18" width="15.5546875" customWidth="1"/>
    <col min="19" max="20" width="13" customWidth="1"/>
    <col min="21" max="21" width="25.6640625" customWidth="1"/>
    <col min="22" max="22" width="17.44140625" customWidth="1"/>
    <col min="23" max="23" width="24.77734375" customWidth="1"/>
    <col min="25" max="25" width="12.33203125" customWidth="1"/>
    <col min="26" max="26" width="15.5546875" customWidth="1"/>
    <col min="27" max="28" width="13" customWidth="1"/>
    <col min="29" max="29" width="25.6640625" customWidth="1"/>
    <col min="30" max="30" width="17.44140625" customWidth="1"/>
    <col min="31" max="31" width="24.77734375" customWidth="1"/>
    <col min="33" max="33" width="12.33203125" customWidth="1"/>
    <col min="34" max="34" width="15.5546875" customWidth="1"/>
    <col min="35" max="36" width="13" customWidth="1"/>
    <col min="37" max="37" width="25.6640625" customWidth="1"/>
    <col min="38" max="38" width="17.44140625" customWidth="1"/>
    <col min="39" max="39" width="24.77734375" customWidth="1"/>
    <col min="271" max="271" width="12.33203125" customWidth="1"/>
    <col min="272" max="272" width="15.5546875" customWidth="1"/>
    <col min="273" max="274" width="13" customWidth="1"/>
    <col min="275" max="275" width="25.6640625" customWidth="1"/>
    <col min="276" max="276" width="17.44140625" customWidth="1"/>
    <col min="277" max="277" width="24.77734375" customWidth="1"/>
    <col min="282" max="282" width="10" customWidth="1"/>
    <col min="527" max="527" width="12.33203125" customWidth="1"/>
    <col min="528" max="528" width="15.5546875" customWidth="1"/>
    <col min="529" max="530" width="13" customWidth="1"/>
    <col min="531" max="531" width="25.6640625" customWidth="1"/>
    <col min="532" max="532" width="17.44140625" customWidth="1"/>
    <col min="533" max="533" width="24.77734375" customWidth="1"/>
    <col min="538" max="538" width="10" customWidth="1"/>
    <col min="783" max="783" width="12.33203125" customWidth="1"/>
    <col min="784" max="784" width="15.5546875" customWidth="1"/>
    <col min="785" max="786" width="13" customWidth="1"/>
    <col min="787" max="787" width="25.6640625" customWidth="1"/>
    <col min="788" max="788" width="17.44140625" customWidth="1"/>
    <col min="789" max="789" width="24.77734375" customWidth="1"/>
    <col min="794" max="794" width="10" customWidth="1"/>
    <col min="1039" max="1039" width="12.33203125" customWidth="1"/>
    <col min="1040" max="1040" width="15.5546875" customWidth="1"/>
    <col min="1041" max="1042" width="13" customWidth="1"/>
    <col min="1043" max="1043" width="25.6640625" customWidth="1"/>
    <col min="1044" max="1044" width="17.44140625" customWidth="1"/>
    <col min="1045" max="1045" width="24.77734375" customWidth="1"/>
    <col min="1050" max="1050" width="10" customWidth="1"/>
    <col min="1295" max="1295" width="12.33203125" customWidth="1"/>
    <col min="1296" max="1296" width="15.5546875" customWidth="1"/>
    <col min="1297" max="1298" width="13" customWidth="1"/>
    <col min="1299" max="1299" width="25.6640625" customWidth="1"/>
    <col min="1300" max="1300" width="17.44140625" customWidth="1"/>
    <col min="1301" max="1301" width="24.77734375" customWidth="1"/>
    <col min="1306" max="1306" width="10" customWidth="1"/>
    <col min="1551" max="1551" width="12.33203125" customWidth="1"/>
    <col min="1552" max="1552" width="15.5546875" customWidth="1"/>
    <col min="1553" max="1554" width="13" customWidth="1"/>
    <col min="1555" max="1555" width="25.6640625" customWidth="1"/>
    <col min="1556" max="1556" width="17.44140625" customWidth="1"/>
    <col min="1557" max="1557" width="24.77734375" customWidth="1"/>
    <col min="1562" max="1562" width="10" customWidth="1"/>
    <col min="1807" max="1807" width="12.33203125" customWidth="1"/>
    <col min="1808" max="1808" width="15.5546875" customWidth="1"/>
    <col min="1809" max="1810" width="13" customWidth="1"/>
    <col min="1811" max="1811" width="25.6640625" customWidth="1"/>
    <col min="1812" max="1812" width="17.44140625" customWidth="1"/>
    <col min="1813" max="1813" width="24.77734375" customWidth="1"/>
    <col min="1818" max="1818" width="10" customWidth="1"/>
    <col min="2063" max="2063" width="12.33203125" customWidth="1"/>
    <col min="2064" max="2064" width="15.5546875" customWidth="1"/>
    <col min="2065" max="2066" width="13" customWidth="1"/>
    <col min="2067" max="2067" width="25.6640625" customWidth="1"/>
    <col min="2068" max="2068" width="17.44140625" customWidth="1"/>
    <col min="2069" max="2069" width="24.77734375" customWidth="1"/>
    <col min="2074" max="2074" width="10" customWidth="1"/>
    <col min="2319" max="2319" width="12.33203125" customWidth="1"/>
    <col min="2320" max="2320" width="15.5546875" customWidth="1"/>
    <col min="2321" max="2322" width="13" customWidth="1"/>
    <col min="2323" max="2323" width="25.6640625" customWidth="1"/>
    <col min="2324" max="2324" width="17.44140625" customWidth="1"/>
    <col min="2325" max="2325" width="24.77734375" customWidth="1"/>
    <col min="2330" max="2330" width="10" customWidth="1"/>
    <col min="2575" max="2575" width="12.33203125" customWidth="1"/>
    <col min="2576" max="2576" width="15.5546875" customWidth="1"/>
    <col min="2577" max="2578" width="13" customWidth="1"/>
    <col min="2579" max="2579" width="25.6640625" customWidth="1"/>
    <col min="2580" max="2580" width="17.44140625" customWidth="1"/>
    <col min="2581" max="2581" width="24.77734375" customWidth="1"/>
    <col min="2586" max="2586" width="10" customWidth="1"/>
    <col min="2831" max="2831" width="12.33203125" customWidth="1"/>
    <col min="2832" max="2832" width="15.5546875" customWidth="1"/>
    <col min="2833" max="2834" width="13" customWidth="1"/>
    <col min="2835" max="2835" width="25.6640625" customWidth="1"/>
    <col min="2836" max="2836" width="17.44140625" customWidth="1"/>
    <col min="2837" max="2837" width="24.77734375" customWidth="1"/>
    <col min="2842" max="2842" width="10" customWidth="1"/>
    <col min="3087" max="3087" width="12.33203125" customWidth="1"/>
    <col min="3088" max="3088" width="15.5546875" customWidth="1"/>
    <col min="3089" max="3090" width="13" customWidth="1"/>
    <col min="3091" max="3091" width="25.6640625" customWidth="1"/>
    <col min="3092" max="3092" width="17.44140625" customWidth="1"/>
    <col min="3093" max="3093" width="24.77734375" customWidth="1"/>
    <col min="3098" max="3098" width="10" customWidth="1"/>
    <col min="3343" max="3343" width="12.33203125" customWidth="1"/>
    <col min="3344" max="3344" width="15.5546875" customWidth="1"/>
    <col min="3345" max="3346" width="13" customWidth="1"/>
    <col min="3347" max="3347" width="25.6640625" customWidth="1"/>
    <col min="3348" max="3348" width="17.44140625" customWidth="1"/>
    <col min="3349" max="3349" width="24.77734375" customWidth="1"/>
    <col min="3354" max="3354" width="10" customWidth="1"/>
    <col min="3599" max="3599" width="12.33203125" customWidth="1"/>
    <col min="3600" max="3600" width="15.5546875" customWidth="1"/>
    <col min="3601" max="3602" width="13" customWidth="1"/>
    <col min="3603" max="3603" width="25.6640625" customWidth="1"/>
    <col min="3604" max="3604" width="17.44140625" customWidth="1"/>
    <col min="3605" max="3605" width="24.77734375" customWidth="1"/>
    <col min="3610" max="3610" width="10" customWidth="1"/>
    <col min="3855" max="3855" width="12.33203125" customWidth="1"/>
    <col min="3856" max="3856" width="15.5546875" customWidth="1"/>
    <col min="3857" max="3858" width="13" customWidth="1"/>
    <col min="3859" max="3859" width="25.6640625" customWidth="1"/>
    <col min="3860" max="3860" width="17.44140625" customWidth="1"/>
    <col min="3861" max="3861" width="24.77734375" customWidth="1"/>
    <col min="3866" max="3866" width="10" customWidth="1"/>
    <col min="4111" max="4111" width="12.33203125" customWidth="1"/>
    <col min="4112" max="4112" width="15.5546875" customWidth="1"/>
    <col min="4113" max="4114" width="13" customWidth="1"/>
    <col min="4115" max="4115" width="25.6640625" customWidth="1"/>
    <col min="4116" max="4116" width="17.44140625" customWidth="1"/>
    <col min="4117" max="4117" width="24.77734375" customWidth="1"/>
    <col min="4122" max="4122" width="10" customWidth="1"/>
    <col min="4367" max="4367" width="12.33203125" customWidth="1"/>
    <col min="4368" max="4368" width="15.5546875" customWidth="1"/>
    <col min="4369" max="4370" width="13" customWidth="1"/>
    <col min="4371" max="4371" width="25.6640625" customWidth="1"/>
    <col min="4372" max="4372" width="17.44140625" customWidth="1"/>
    <col min="4373" max="4373" width="24.77734375" customWidth="1"/>
    <col min="4378" max="4378" width="10" customWidth="1"/>
    <col min="4623" max="4623" width="12.33203125" customWidth="1"/>
    <col min="4624" max="4624" width="15.5546875" customWidth="1"/>
    <col min="4625" max="4626" width="13" customWidth="1"/>
    <col min="4627" max="4627" width="25.6640625" customWidth="1"/>
    <col min="4628" max="4628" width="17.44140625" customWidth="1"/>
    <col min="4629" max="4629" width="24.77734375" customWidth="1"/>
    <col min="4634" max="4634" width="10" customWidth="1"/>
    <col min="4879" max="4879" width="12.33203125" customWidth="1"/>
    <col min="4880" max="4880" width="15.5546875" customWidth="1"/>
    <col min="4881" max="4882" width="13" customWidth="1"/>
    <col min="4883" max="4883" width="25.6640625" customWidth="1"/>
    <col min="4884" max="4884" width="17.44140625" customWidth="1"/>
    <col min="4885" max="4885" width="24.77734375" customWidth="1"/>
    <col min="4890" max="4890" width="10" customWidth="1"/>
    <col min="5135" max="5135" width="12.33203125" customWidth="1"/>
    <col min="5136" max="5136" width="15.5546875" customWidth="1"/>
    <col min="5137" max="5138" width="13" customWidth="1"/>
    <col min="5139" max="5139" width="25.6640625" customWidth="1"/>
    <col min="5140" max="5140" width="17.44140625" customWidth="1"/>
    <col min="5141" max="5141" width="24.77734375" customWidth="1"/>
    <col min="5146" max="5146" width="10" customWidth="1"/>
    <col min="5391" max="5391" width="12.33203125" customWidth="1"/>
    <col min="5392" max="5392" width="15.5546875" customWidth="1"/>
    <col min="5393" max="5394" width="13" customWidth="1"/>
    <col min="5395" max="5395" width="25.6640625" customWidth="1"/>
    <col min="5396" max="5396" width="17.44140625" customWidth="1"/>
    <col min="5397" max="5397" width="24.77734375" customWidth="1"/>
    <col min="5402" max="5402" width="10" customWidth="1"/>
    <col min="5647" max="5647" width="12.33203125" customWidth="1"/>
    <col min="5648" max="5648" width="15.5546875" customWidth="1"/>
    <col min="5649" max="5650" width="13" customWidth="1"/>
    <col min="5651" max="5651" width="25.6640625" customWidth="1"/>
    <col min="5652" max="5652" width="17.44140625" customWidth="1"/>
    <col min="5653" max="5653" width="24.77734375" customWidth="1"/>
    <col min="5658" max="5658" width="10" customWidth="1"/>
    <col min="5903" max="5903" width="12.33203125" customWidth="1"/>
    <col min="5904" max="5904" width="15.5546875" customWidth="1"/>
    <col min="5905" max="5906" width="13" customWidth="1"/>
    <col min="5907" max="5907" width="25.6640625" customWidth="1"/>
    <col min="5908" max="5908" width="17.44140625" customWidth="1"/>
    <col min="5909" max="5909" width="24.77734375" customWidth="1"/>
    <col min="5914" max="5914" width="10" customWidth="1"/>
    <col min="6159" max="6159" width="12.33203125" customWidth="1"/>
    <col min="6160" max="6160" width="15.5546875" customWidth="1"/>
    <col min="6161" max="6162" width="13" customWidth="1"/>
    <col min="6163" max="6163" width="25.6640625" customWidth="1"/>
    <col min="6164" max="6164" width="17.44140625" customWidth="1"/>
    <col min="6165" max="6165" width="24.77734375" customWidth="1"/>
    <col min="6170" max="6170" width="10" customWidth="1"/>
    <col min="6415" max="6415" width="12.33203125" customWidth="1"/>
    <col min="6416" max="6416" width="15.5546875" customWidth="1"/>
    <col min="6417" max="6418" width="13" customWidth="1"/>
    <col min="6419" max="6419" width="25.6640625" customWidth="1"/>
    <col min="6420" max="6420" width="17.44140625" customWidth="1"/>
    <col min="6421" max="6421" width="24.77734375" customWidth="1"/>
    <col min="6426" max="6426" width="10" customWidth="1"/>
    <col min="6671" max="6671" width="12.33203125" customWidth="1"/>
    <col min="6672" max="6672" width="15.5546875" customWidth="1"/>
    <col min="6673" max="6674" width="13" customWidth="1"/>
    <col min="6675" max="6675" width="25.6640625" customWidth="1"/>
    <col min="6676" max="6676" width="17.44140625" customWidth="1"/>
    <col min="6677" max="6677" width="24.77734375" customWidth="1"/>
    <col min="6682" max="6682" width="10" customWidth="1"/>
    <col min="6927" max="6927" width="12.33203125" customWidth="1"/>
    <col min="6928" max="6928" width="15.5546875" customWidth="1"/>
    <col min="6929" max="6930" width="13" customWidth="1"/>
    <col min="6931" max="6931" width="25.6640625" customWidth="1"/>
    <col min="6932" max="6932" width="17.44140625" customWidth="1"/>
    <col min="6933" max="6933" width="24.77734375" customWidth="1"/>
    <col min="6938" max="6938" width="10" customWidth="1"/>
    <col min="7183" max="7183" width="12.33203125" customWidth="1"/>
    <col min="7184" max="7184" width="15.5546875" customWidth="1"/>
    <col min="7185" max="7186" width="13" customWidth="1"/>
    <col min="7187" max="7187" width="25.6640625" customWidth="1"/>
    <col min="7188" max="7188" width="17.44140625" customWidth="1"/>
    <col min="7189" max="7189" width="24.77734375" customWidth="1"/>
    <col min="7194" max="7194" width="10" customWidth="1"/>
    <col min="7439" max="7439" width="12.33203125" customWidth="1"/>
    <col min="7440" max="7440" width="15.5546875" customWidth="1"/>
    <col min="7441" max="7442" width="13" customWidth="1"/>
    <col min="7443" max="7443" width="25.6640625" customWidth="1"/>
    <col min="7444" max="7444" width="17.44140625" customWidth="1"/>
    <col min="7445" max="7445" width="24.77734375" customWidth="1"/>
    <col min="7450" max="7450" width="10" customWidth="1"/>
    <col min="7695" max="7695" width="12.33203125" customWidth="1"/>
    <col min="7696" max="7696" width="15.5546875" customWidth="1"/>
    <col min="7697" max="7698" width="13" customWidth="1"/>
    <col min="7699" max="7699" width="25.6640625" customWidth="1"/>
    <col min="7700" max="7700" width="17.44140625" customWidth="1"/>
    <col min="7701" max="7701" width="24.77734375" customWidth="1"/>
    <col min="7706" max="7706" width="10" customWidth="1"/>
    <col min="7951" max="7951" width="12.33203125" customWidth="1"/>
    <col min="7952" max="7952" width="15.5546875" customWidth="1"/>
    <col min="7953" max="7954" width="13" customWidth="1"/>
    <col min="7955" max="7955" width="25.6640625" customWidth="1"/>
    <col min="7956" max="7956" width="17.44140625" customWidth="1"/>
    <col min="7957" max="7957" width="24.77734375" customWidth="1"/>
    <col min="7962" max="7962" width="10" customWidth="1"/>
    <col min="8207" max="8207" width="12.33203125" customWidth="1"/>
    <col min="8208" max="8208" width="15.5546875" customWidth="1"/>
    <col min="8209" max="8210" width="13" customWidth="1"/>
    <col min="8211" max="8211" width="25.6640625" customWidth="1"/>
    <col min="8212" max="8212" width="17.44140625" customWidth="1"/>
    <col min="8213" max="8213" width="24.77734375" customWidth="1"/>
    <col min="8218" max="8218" width="10" customWidth="1"/>
    <col min="8463" max="8463" width="12.33203125" customWidth="1"/>
    <col min="8464" max="8464" width="15.5546875" customWidth="1"/>
    <col min="8465" max="8466" width="13" customWidth="1"/>
    <col min="8467" max="8467" width="25.6640625" customWidth="1"/>
    <col min="8468" max="8468" width="17.44140625" customWidth="1"/>
    <col min="8469" max="8469" width="24.77734375" customWidth="1"/>
    <col min="8474" max="8474" width="10" customWidth="1"/>
    <col min="8719" max="8719" width="12.33203125" customWidth="1"/>
    <col min="8720" max="8720" width="15.5546875" customWidth="1"/>
    <col min="8721" max="8722" width="13" customWidth="1"/>
    <col min="8723" max="8723" width="25.6640625" customWidth="1"/>
    <col min="8724" max="8724" width="17.44140625" customWidth="1"/>
    <col min="8725" max="8725" width="24.77734375" customWidth="1"/>
    <col min="8730" max="8730" width="10" customWidth="1"/>
    <col min="8975" max="8975" width="12.33203125" customWidth="1"/>
    <col min="8976" max="8976" width="15.5546875" customWidth="1"/>
    <col min="8977" max="8978" width="13" customWidth="1"/>
    <col min="8979" max="8979" width="25.6640625" customWidth="1"/>
    <col min="8980" max="8980" width="17.44140625" customWidth="1"/>
    <col min="8981" max="8981" width="24.77734375" customWidth="1"/>
    <col min="8986" max="8986" width="10" customWidth="1"/>
    <col min="9231" max="9231" width="12.33203125" customWidth="1"/>
    <col min="9232" max="9232" width="15.5546875" customWidth="1"/>
    <col min="9233" max="9234" width="13" customWidth="1"/>
    <col min="9235" max="9235" width="25.6640625" customWidth="1"/>
    <col min="9236" max="9236" width="17.44140625" customWidth="1"/>
    <col min="9237" max="9237" width="24.77734375" customWidth="1"/>
    <col min="9242" max="9242" width="10" customWidth="1"/>
    <col min="9487" max="9487" width="12.33203125" customWidth="1"/>
    <col min="9488" max="9488" width="15.5546875" customWidth="1"/>
    <col min="9489" max="9490" width="13" customWidth="1"/>
    <col min="9491" max="9491" width="25.6640625" customWidth="1"/>
    <col min="9492" max="9492" width="17.44140625" customWidth="1"/>
    <col min="9493" max="9493" width="24.77734375" customWidth="1"/>
    <col min="9498" max="9498" width="10" customWidth="1"/>
    <col min="9743" max="9743" width="12.33203125" customWidth="1"/>
    <col min="9744" max="9744" width="15.5546875" customWidth="1"/>
    <col min="9745" max="9746" width="13" customWidth="1"/>
    <col min="9747" max="9747" width="25.6640625" customWidth="1"/>
    <col min="9748" max="9748" width="17.44140625" customWidth="1"/>
    <col min="9749" max="9749" width="24.77734375" customWidth="1"/>
    <col min="9754" max="9754" width="10" customWidth="1"/>
    <col min="9999" max="9999" width="12.33203125" customWidth="1"/>
    <col min="10000" max="10000" width="15.5546875" customWidth="1"/>
    <col min="10001" max="10002" width="13" customWidth="1"/>
    <col min="10003" max="10003" width="25.6640625" customWidth="1"/>
    <col min="10004" max="10004" width="17.44140625" customWidth="1"/>
    <col min="10005" max="10005" width="24.77734375" customWidth="1"/>
    <col min="10010" max="10010" width="10" customWidth="1"/>
    <col min="10255" max="10255" width="12.33203125" customWidth="1"/>
    <col min="10256" max="10256" width="15.5546875" customWidth="1"/>
    <col min="10257" max="10258" width="13" customWidth="1"/>
    <col min="10259" max="10259" width="25.6640625" customWidth="1"/>
    <col min="10260" max="10260" width="17.44140625" customWidth="1"/>
    <col min="10261" max="10261" width="24.77734375" customWidth="1"/>
    <col min="10266" max="10266" width="10" customWidth="1"/>
    <col min="10511" max="10511" width="12.33203125" customWidth="1"/>
    <col min="10512" max="10512" width="15.5546875" customWidth="1"/>
    <col min="10513" max="10514" width="13" customWidth="1"/>
    <col min="10515" max="10515" width="25.6640625" customWidth="1"/>
    <col min="10516" max="10516" width="17.44140625" customWidth="1"/>
    <col min="10517" max="10517" width="24.77734375" customWidth="1"/>
    <col min="10522" max="10522" width="10" customWidth="1"/>
    <col min="10767" max="10767" width="12.33203125" customWidth="1"/>
    <col min="10768" max="10768" width="15.5546875" customWidth="1"/>
    <col min="10769" max="10770" width="13" customWidth="1"/>
    <col min="10771" max="10771" width="25.6640625" customWidth="1"/>
    <col min="10772" max="10772" width="17.44140625" customWidth="1"/>
    <col min="10773" max="10773" width="24.77734375" customWidth="1"/>
    <col min="10778" max="10778" width="10" customWidth="1"/>
    <col min="11023" max="11023" width="12.33203125" customWidth="1"/>
    <col min="11024" max="11024" width="15.5546875" customWidth="1"/>
    <col min="11025" max="11026" width="13" customWidth="1"/>
    <col min="11027" max="11027" width="25.6640625" customWidth="1"/>
    <col min="11028" max="11028" width="17.44140625" customWidth="1"/>
    <col min="11029" max="11029" width="24.77734375" customWidth="1"/>
    <col min="11034" max="11034" width="10" customWidth="1"/>
    <col min="11279" max="11279" width="12.33203125" customWidth="1"/>
    <col min="11280" max="11280" width="15.5546875" customWidth="1"/>
    <col min="11281" max="11282" width="13" customWidth="1"/>
    <col min="11283" max="11283" width="25.6640625" customWidth="1"/>
    <col min="11284" max="11284" width="17.44140625" customWidth="1"/>
    <col min="11285" max="11285" width="24.77734375" customWidth="1"/>
    <col min="11290" max="11290" width="10" customWidth="1"/>
    <col min="11535" max="11535" width="12.33203125" customWidth="1"/>
    <col min="11536" max="11536" width="15.5546875" customWidth="1"/>
    <col min="11537" max="11538" width="13" customWidth="1"/>
    <col min="11539" max="11539" width="25.6640625" customWidth="1"/>
    <col min="11540" max="11540" width="17.44140625" customWidth="1"/>
    <col min="11541" max="11541" width="24.77734375" customWidth="1"/>
    <col min="11546" max="11546" width="10" customWidth="1"/>
    <col min="11791" max="11791" width="12.33203125" customWidth="1"/>
    <col min="11792" max="11792" width="15.5546875" customWidth="1"/>
    <col min="11793" max="11794" width="13" customWidth="1"/>
    <col min="11795" max="11795" width="25.6640625" customWidth="1"/>
    <col min="11796" max="11796" width="17.44140625" customWidth="1"/>
    <col min="11797" max="11797" width="24.77734375" customWidth="1"/>
    <col min="11802" max="11802" width="10" customWidth="1"/>
    <col min="12047" max="12047" width="12.33203125" customWidth="1"/>
    <col min="12048" max="12048" width="15.5546875" customWidth="1"/>
    <col min="12049" max="12050" width="13" customWidth="1"/>
    <col min="12051" max="12051" width="25.6640625" customWidth="1"/>
    <col min="12052" max="12052" width="17.44140625" customWidth="1"/>
    <col min="12053" max="12053" width="24.77734375" customWidth="1"/>
    <col min="12058" max="12058" width="10" customWidth="1"/>
    <col min="12303" max="12303" width="12.33203125" customWidth="1"/>
    <col min="12304" max="12304" width="15.5546875" customWidth="1"/>
    <col min="12305" max="12306" width="13" customWidth="1"/>
    <col min="12307" max="12307" width="25.6640625" customWidth="1"/>
    <col min="12308" max="12308" width="17.44140625" customWidth="1"/>
    <col min="12309" max="12309" width="24.77734375" customWidth="1"/>
    <col min="12314" max="12314" width="10" customWidth="1"/>
    <col min="12559" max="12559" width="12.33203125" customWidth="1"/>
    <col min="12560" max="12560" width="15.5546875" customWidth="1"/>
    <col min="12561" max="12562" width="13" customWidth="1"/>
    <col min="12563" max="12563" width="25.6640625" customWidth="1"/>
    <col min="12564" max="12564" width="17.44140625" customWidth="1"/>
    <col min="12565" max="12565" width="24.77734375" customWidth="1"/>
    <col min="12570" max="12570" width="10" customWidth="1"/>
    <col min="12815" max="12815" width="12.33203125" customWidth="1"/>
    <col min="12816" max="12816" width="15.5546875" customWidth="1"/>
    <col min="12817" max="12818" width="13" customWidth="1"/>
    <col min="12819" max="12819" width="25.6640625" customWidth="1"/>
    <col min="12820" max="12820" width="17.44140625" customWidth="1"/>
    <col min="12821" max="12821" width="24.77734375" customWidth="1"/>
    <col min="12826" max="12826" width="10" customWidth="1"/>
    <col min="13071" max="13071" width="12.33203125" customWidth="1"/>
    <col min="13072" max="13072" width="15.5546875" customWidth="1"/>
    <col min="13073" max="13074" width="13" customWidth="1"/>
    <col min="13075" max="13075" width="25.6640625" customWidth="1"/>
    <col min="13076" max="13076" width="17.44140625" customWidth="1"/>
    <col min="13077" max="13077" width="24.77734375" customWidth="1"/>
    <col min="13082" max="13082" width="10" customWidth="1"/>
    <col min="13327" max="13327" width="12.33203125" customWidth="1"/>
    <col min="13328" max="13328" width="15.5546875" customWidth="1"/>
    <col min="13329" max="13330" width="13" customWidth="1"/>
    <col min="13331" max="13331" width="25.6640625" customWidth="1"/>
    <col min="13332" max="13332" width="17.44140625" customWidth="1"/>
    <col min="13333" max="13333" width="24.77734375" customWidth="1"/>
    <col min="13338" max="13338" width="10" customWidth="1"/>
    <col min="13583" max="13583" width="12.33203125" customWidth="1"/>
    <col min="13584" max="13584" width="15.5546875" customWidth="1"/>
    <col min="13585" max="13586" width="13" customWidth="1"/>
    <col min="13587" max="13587" width="25.6640625" customWidth="1"/>
    <col min="13588" max="13588" width="17.44140625" customWidth="1"/>
    <col min="13589" max="13589" width="24.77734375" customWidth="1"/>
    <col min="13594" max="13594" width="10" customWidth="1"/>
    <col min="13839" max="13839" width="12.33203125" customWidth="1"/>
    <col min="13840" max="13840" width="15.5546875" customWidth="1"/>
    <col min="13841" max="13842" width="13" customWidth="1"/>
    <col min="13843" max="13843" width="25.6640625" customWidth="1"/>
    <col min="13844" max="13844" width="17.44140625" customWidth="1"/>
    <col min="13845" max="13845" width="24.77734375" customWidth="1"/>
    <col min="13850" max="13850" width="10" customWidth="1"/>
    <col min="14095" max="14095" width="12.33203125" customWidth="1"/>
    <col min="14096" max="14096" width="15.5546875" customWidth="1"/>
    <col min="14097" max="14098" width="13" customWidth="1"/>
    <col min="14099" max="14099" width="25.6640625" customWidth="1"/>
    <col min="14100" max="14100" width="17.44140625" customWidth="1"/>
    <col min="14101" max="14101" width="24.77734375" customWidth="1"/>
    <col min="14106" max="14106" width="10" customWidth="1"/>
    <col min="14351" max="14351" width="12.33203125" customWidth="1"/>
    <col min="14352" max="14352" width="15.5546875" customWidth="1"/>
    <col min="14353" max="14354" width="13" customWidth="1"/>
    <col min="14355" max="14355" width="25.6640625" customWidth="1"/>
    <col min="14356" max="14356" width="17.44140625" customWidth="1"/>
    <col min="14357" max="14357" width="24.77734375" customWidth="1"/>
    <col min="14362" max="14362" width="10" customWidth="1"/>
    <col min="14607" max="14607" width="12.33203125" customWidth="1"/>
    <col min="14608" max="14608" width="15.5546875" customWidth="1"/>
    <col min="14609" max="14610" width="13" customWidth="1"/>
    <col min="14611" max="14611" width="25.6640625" customWidth="1"/>
    <col min="14612" max="14612" width="17.44140625" customWidth="1"/>
    <col min="14613" max="14613" width="24.77734375" customWidth="1"/>
    <col min="14618" max="14618" width="10" customWidth="1"/>
    <col min="14863" max="14863" width="12.33203125" customWidth="1"/>
    <col min="14864" max="14864" width="15.5546875" customWidth="1"/>
    <col min="14865" max="14866" width="13" customWidth="1"/>
    <col min="14867" max="14867" width="25.6640625" customWidth="1"/>
    <col min="14868" max="14868" width="17.44140625" customWidth="1"/>
    <col min="14869" max="14869" width="24.77734375" customWidth="1"/>
    <col min="14874" max="14874" width="10" customWidth="1"/>
    <col min="15119" max="15119" width="12.33203125" customWidth="1"/>
    <col min="15120" max="15120" width="15.5546875" customWidth="1"/>
    <col min="15121" max="15122" width="13" customWidth="1"/>
    <col min="15123" max="15123" width="25.6640625" customWidth="1"/>
    <col min="15124" max="15124" width="17.44140625" customWidth="1"/>
    <col min="15125" max="15125" width="24.77734375" customWidth="1"/>
    <col min="15130" max="15130" width="10" customWidth="1"/>
    <col min="15375" max="15375" width="12.33203125" customWidth="1"/>
    <col min="15376" max="15376" width="15.5546875" customWidth="1"/>
    <col min="15377" max="15378" width="13" customWidth="1"/>
    <col min="15379" max="15379" width="25.6640625" customWidth="1"/>
    <col min="15380" max="15380" width="17.44140625" customWidth="1"/>
    <col min="15381" max="15381" width="24.77734375" customWidth="1"/>
    <col min="15386" max="15386" width="10" customWidth="1"/>
    <col min="15631" max="15631" width="12.33203125" customWidth="1"/>
    <col min="15632" max="15632" width="15.5546875" customWidth="1"/>
    <col min="15633" max="15634" width="13" customWidth="1"/>
    <col min="15635" max="15635" width="25.6640625" customWidth="1"/>
    <col min="15636" max="15636" width="17.44140625" customWidth="1"/>
    <col min="15637" max="15637" width="24.77734375" customWidth="1"/>
    <col min="15642" max="15642" width="10" customWidth="1"/>
    <col min="15887" max="15887" width="12.33203125" customWidth="1"/>
    <col min="15888" max="15888" width="15.5546875" customWidth="1"/>
    <col min="15889" max="15890" width="13" customWidth="1"/>
    <col min="15891" max="15891" width="25.6640625" customWidth="1"/>
    <col min="15892" max="15892" width="17.44140625" customWidth="1"/>
    <col min="15893" max="15893" width="24.77734375" customWidth="1"/>
    <col min="15898" max="15898" width="10" customWidth="1"/>
    <col min="16143" max="16143" width="12.33203125" customWidth="1"/>
    <col min="16144" max="16144" width="15.5546875" customWidth="1"/>
    <col min="16145" max="16146" width="13" customWidth="1"/>
    <col min="16147" max="16147" width="25.6640625" customWidth="1"/>
    <col min="16148" max="16148" width="17.44140625" customWidth="1"/>
    <col min="16149" max="16149" width="24.77734375" customWidth="1"/>
    <col min="16154" max="16154" width="10" customWidth="1"/>
  </cols>
  <sheetData>
    <row r="1" spans="1:39" ht="23.25" customHeight="1" x14ac:dyDescent="0.3">
      <c r="G1" s="1" t="s">
        <v>0</v>
      </c>
      <c r="O1" s="1" t="s">
        <v>0</v>
      </c>
      <c r="W1" s="1" t="s">
        <v>0</v>
      </c>
      <c r="AE1" s="1" t="s">
        <v>0</v>
      </c>
      <c r="AM1" s="1" t="s">
        <v>0</v>
      </c>
    </row>
    <row r="2" spans="1:39" ht="23.25" customHeight="1" x14ac:dyDescent="0.3">
      <c r="G2" s="1"/>
      <c r="O2" s="1"/>
      <c r="W2" s="1"/>
      <c r="AE2" s="1"/>
      <c r="AM2" s="1"/>
    </row>
    <row r="3" spans="1:39" ht="15" customHeight="1" x14ac:dyDescent="0.3"/>
    <row r="4" spans="1:39" ht="17.399999999999999" x14ac:dyDescent="0.3">
      <c r="A4" s="102" t="s">
        <v>1</v>
      </c>
      <c r="B4" s="102"/>
      <c r="C4" s="102"/>
      <c r="D4" s="102"/>
      <c r="E4" s="102"/>
      <c r="F4" s="102"/>
      <c r="G4" s="102"/>
      <c r="I4" s="102" t="s">
        <v>1</v>
      </c>
      <c r="J4" s="102"/>
      <c r="K4" s="102"/>
      <c r="L4" s="102"/>
      <c r="M4" s="102"/>
      <c r="N4" s="102"/>
      <c r="O4" s="102"/>
      <c r="Q4" s="102" t="s">
        <v>1</v>
      </c>
      <c r="R4" s="102"/>
      <c r="S4" s="102"/>
      <c r="T4" s="102"/>
      <c r="U4" s="102"/>
      <c r="V4" s="102"/>
      <c r="W4" s="102"/>
      <c r="Y4" s="102" t="s">
        <v>1</v>
      </c>
      <c r="Z4" s="102"/>
      <c r="AA4" s="102"/>
      <c r="AB4" s="102"/>
      <c r="AC4" s="102"/>
      <c r="AD4" s="102"/>
      <c r="AE4" s="102"/>
      <c r="AG4" s="102" t="s">
        <v>1</v>
      </c>
      <c r="AH4" s="102"/>
      <c r="AI4" s="102"/>
      <c r="AJ4" s="102"/>
      <c r="AK4" s="102"/>
      <c r="AL4" s="102"/>
      <c r="AM4" s="102"/>
    </row>
    <row r="5" spans="1:39" ht="24" customHeight="1" x14ac:dyDescent="0.3">
      <c r="A5" s="103"/>
      <c r="B5" s="103"/>
      <c r="C5" s="103"/>
      <c r="D5" s="103"/>
      <c r="E5" s="103"/>
      <c r="F5" s="103"/>
      <c r="G5" s="103"/>
      <c r="I5" s="103"/>
      <c r="J5" s="103"/>
      <c r="K5" s="103"/>
      <c r="L5" s="103"/>
      <c r="M5" s="103"/>
      <c r="N5" s="103"/>
      <c r="O5" s="103"/>
      <c r="Q5" s="103"/>
      <c r="R5" s="103"/>
      <c r="S5" s="103"/>
      <c r="T5" s="103"/>
      <c r="U5" s="103"/>
      <c r="V5" s="103"/>
      <c r="W5" s="103"/>
      <c r="Y5" s="103"/>
      <c r="Z5" s="103"/>
      <c r="AA5" s="103"/>
      <c r="AB5" s="103"/>
      <c r="AC5" s="103"/>
      <c r="AD5" s="103"/>
      <c r="AE5" s="103"/>
      <c r="AG5" s="103"/>
      <c r="AH5" s="103"/>
      <c r="AI5" s="103"/>
      <c r="AJ5" s="103"/>
      <c r="AK5" s="103"/>
      <c r="AL5" s="103"/>
      <c r="AM5" s="103"/>
    </row>
    <row r="6" spans="1:39" ht="15.6" x14ac:dyDescent="0.3">
      <c r="A6" s="3" t="s">
        <v>20</v>
      </c>
      <c r="C6" s="4"/>
      <c r="D6" s="4"/>
      <c r="E6" s="4"/>
      <c r="F6" s="3" t="s">
        <v>2</v>
      </c>
      <c r="G6" s="4"/>
      <c r="I6" s="3" t="s">
        <v>20</v>
      </c>
      <c r="K6" s="4"/>
      <c r="L6" s="4"/>
      <c r="M6" s="4"/>
      <c r="N6" s="3" t="s">
        <v>2</v>
      </c>
      <c r="O6" s="4"/>
      <c r="Q6" s="3" t="s">
        <v>20</v>
      </c>
      <c r="S6" s="4"/>
      <c r="T6" s="4"/>
      <c r="U6" s="4"/>
      <c r="V6" s="3" t="s">
        <v>2</v>
      </c>
      <c r="W6" s="4"/>
      <c r="Y6" s="3" t="s">
        <v>20</v>
      </c>
      <c r="AA6" s="4"/>
      <c r="AB6" s="4"/>
      <c r="AC6" s="4"/>
      <c r="AD6" s="3" t="s">
        <v>2</v>
      </c>
      <c r="AE6" s="4"/>
      <c r="AG6" s="3" t="s">
        <v>20</v>
      </c>
      <c r="AI6" s="4"/>
      <c r="AJ6" s="4"/>
      <c r="AK6" s="4"/>
      <c r="AL6" s="3" t="s">
        <v>2</v>
      </c>
      <c r="AM6" s="4"/>
    </row>
    <row r="7" spans="1:39" ht="4.5" customHeight="1" thickBot="1" x14ac:dyDescent="0.35">
      <c r="A7" s="2"/>
      <c r="B7" s="2"/>
      <c r="C7" s="2"/>
      <c r="D7" s="2"/>
      <c r="E7" s="2"/>
      <c r="F7" s="2"/>
      <c r="G7" s="2"/>
      <c r="I7" s="2"/>
      <c r="J7" s="2"/>
      <c r="K7" s="2"/>
      <c r="L7" s="2"/>
      <c r="M7" s="2"/>
      <c r="N7" s="2"/>
      <c r="O7" s="2"/>
      <c r="Q7" s="2"/>
      <c r="R7" s="2"/>
      <c r="S7" s="2"/>
      <c r="T7" s="2"/>
      <c r="U7" s="2"/>
      <c r="V7" s="2"/>
      <c r="W7" s="2"/>
      <c r="Y7" s="2"/>
      <c r="Z7" s="2"/>
      <c r="AA7" s="2"/>
      <c r="AB7" s="2"/>
      <c r="AC7" s="2"/>
      <c r="AD7" s="2"/>
      <c r="AE7" s="2"/>
      <c r="AG7" s="2"/>
      <c r="AH7" s="2"/>
      <c r="AI7" s="2"/>
      <c r="AJ7" s="2"/>
      <c r="AK7" s="2"/>
      <c r="AL7" s="2"/>
      <c r="AM7" s="2"/>
    </row>
    <row r="8" spans="1:39" ht="20.25" customHeight="1" x14ac:dyDescent="0.35">
      <c r="A8" s="5" t="s">
        <v>3</v>
      </c>
      <c r="B8" s="6" t="s">
        <v>21</v>
      </c>
      <c r="C8" s="6"/>
      <c r="D8" s="7"/>
      <c r="E8" s="8"/>
      <c r="F8" s="9" t="s">
        <v>4</v>
      </c>
      <c r="G8" s="8" t="s">
        <v>23</v>
      </c>
      <c r="I8" s="5" t="s">
        <v>3</v>
      </c>
      <c r="J8" s="6" t="s">
        <v>21</v>
      </c>
      <c r="K8" s="6"/>
      <c r="L8" s="7"/>
      <c r="M8" s="8"/>
      <c r="N8" s="9" t="s">
        <v>4</v>
      </c>
      <c r="O8" s="8" t="s">
        <v>23</v>
      </c>
      <c r="Q8" s="5" t="s">
        <v>3</v>
      </c>
      <c r="R8" s="6" t="s">
        <v>21</v>
      </c>
      <c r="S8" s="6"/>
      <c r="T8" s="7"/>
      <c r="U8" s="8"/>
      <c r="V8" s="9" t="s">
        <v>4</v>
      </c>
      <c r="W8" s="8" t="s">
        <v>23</v>
      </c>
      <c r="Y8" s="5" t="s">
        <v>3</v>
      </c>
      <c r="Z8" s="6" t="s">
        <v>21</v>
      </c>
      <c r="AA8" s="6"/>
      <c r="AB8" s="7"/>
      <c r="AC8" s="8"/>
      <c r="AD8" s="9" t="s">
        <v>4</v>
      </c>
      <c r="AE8" s="8" t="s">
        <v>23</v>
      </c>
      <c r="AG8" s="5" t="s">
        <v>3</v>
      </c>
      <c r="AH8" s="6" t="s">
        <v>21</v>
      </c>
      <c r="AI8" s="6"/>
      <c r="AJ8" s="7"/>
      <c r="AK8" s="8"/>
      <c r="AL8" s="9" t="s">
        <v>4</v>
      </c>
      <c r="AM8" s="8" t="s">
        <v>23</v>
      </c>
    </row>
    <row r="9" spans="1:39" ht="20.25" customHeight="1" x14ac:dyDescent="0.35">
      <c r="A9" s="10" t="s">
        <v>5</v>
      </c>
      <c r="B9" s="11" t="s">
        <v>22</v>
      </c>
      <c r="C9" s="11"/>
      <c r="D9" s="12"/>
      <c r="E9" s="13"/>
      <c r="F9" s="14" t="s">
        <v>6</v>
      </c>
      <c r="G9" s="13"/>
      <c r="I9" s="10" t="s">
        <v>5</v>
      </c>
      <c r="J9" s="11" t="s">
        <v>28</v>
      </c>
      <c r="K9" s="11"/>
      <c r="L9" s="12"/>
      <c r="M9" s="13"/>
      <c r="N9" s="14" t="s">
        <v>6</v>
      </c>
      <c r="O9" s="13"/>
      <c r="Q9" s="10" t="s">
        <v>5</v>
      </c>
      <c r="R9" s="11" t="s">
        <v>27</v>
      </c>
      <c r="S9" s="11"/>
      <c r="T9" s="12"/>
      <c r="U9" s="13"/>
      <c r="V9" s="14" t="s">
        <v>6</v>
      </c>
      <c r="W9" s="13"/>
      <c r="Y9" s="10" t="s">
        <v>5</v>
      </c>
      <c r="Z9" s="11" t="s">
        <v>29</v>
      </c>
      <c r="AA9" s="11"/>
      <c r="AB9" s="12"/>
      <c r="AC9" s="13"/>
      <c r="AD9" s="14" t="s">
        <v>6</v>
      </c>
      <c r="AE9" s="13"/>
      <c r="AG9" s="10" t="s">
        <v>5</v>
      </c>
      <c r="AH9" s="11" t="s">
        <v>30</v>
      </c>
      <c r="AI9" s="11"/>
      <c r="AJ9" s="12"/>
      <c r="AK9" s="13"/>
      <c r="AL9" s="14" t="s">
        <v>6</v>
      </c>
      <c r="AM9" s="13"/>
    </row>
    <row r="10" spans="1:39" ht="20.25" customHeight="1" thickBot="1" x14ac:dyDescent="0.35">
      <c r="A10" s="15" t="s">
        <v>7</v>
      </c>
      <c r="B10" s="16"/>
      <c r="C10" s="16" t="s">
        <v>26</v>
      </c>
      <c r="D10" s="17"/>
      <c r="E10" s="18"/>
      <c r="F10" s="19"/>
      <c r="G10" s="20"/>
      <c r="I10" s="15" t="s">
        <v>7</v>
      </c>
      <c r="J10" s="16"/>
      <c r="K10" s="16" t="s">
        <v>26</v>
      </c>
      <c r="L10" s="17"/>
      <c r="M10" s="18"/>
      <c r="N10" s="19"/>
      <c r="O10" s="20"/>
      <c r="Q10" s="15" t="s">
        <v>7</v>
      </c>
      <c r="R10" s="16"/>
      <c r="S10" s="16" t="s">
        <v>26</v>
      </c>
      <c r="T10" s="17"/>
      <c r="U10" s="18"/>
      <c r="V10" s="19"/>
      <c r="W10" s="20"/>
      <c r="Y10" s="15" t="s">
        <v>7</v>
      </c>
      <c r="Z10" s="16"/>
      <c r="AA10" s="16" t="s">
        <v>26</v>
      </c>
      <c r="AB10" s="17"/>
      <c r="AC10" s="18"/>
      <c r="AD10" s="19"/>
      <c r="AE10" s="20"/>
      <c r="AG10" s="15" t="s">
        <v>7</v>
      </c>
      <c r="AH10" s="16"/>
      <c r="AI10" s="16" t="s">
        <v>26</v>
      </c>
      <c r="AJ10" s="17"/>
      <c r="AK10" s="18"/>
      <c r="AL10" s="19"/>
      <c r="AM10" s="20"/>
    </row>
    <row r="11" spans="1:39" ht="16.8" thickBot="1" x14ac:dyDescent="0.35">
      <c r="A11" s="104" t="s">
        <v>9</v>
      </c>
      <c r="B11" s="104" t="s">
        <v>10</v>
      </c>
      <c r="C11" s="22" t="s">
        <v>11</v>
      </c>
      <c r="D11" s="106" t="s">
        <v>12</v>
      </c>
      <c r="E11" s="107"/>
      <c r="F11" s="23" t="s">
        <v>13</v>
      </c>
      <c r="G11" s="108" t="s">
        <v>14</v>
      </c>
      <c r="I11" s="104" t="s">
        <v>9</v>
      </c>
      <c r="J11" s="104" t="s">
        <v>10</v>
      </c>
      <c r="K11" s="22" t="s">
        <v>11</v>
      </c>
      <c r="L11" s="106" t="s">
        <v>12</v>
      </c>
      <c r="M11" s="107"/>
      <c r="N11" s="23" t="s">
        <v>13</v>
      </c>
      <c r="O11" s="108" t="s">
        <v>14</v>
      </c>
      <c r="Q11" s="104" t="s">
        <v>9</v>
      </c>
      <c r="R11" s="104" t="s">
        <v>10</v>
      </c>
      <c r="S11" s="22" t="s">
        <v>11</v>
      </c>
      <c r="T11" s="106" t="s">
        <v>12</v>
      </c>
      <c r="U11" s="107"/>
      <c r="V11" s="23" t="s">
        <v>13</v>
      </c>
      <c r="W11" s="108" t="s">
        <v>14</v>
      </c>
      <c r="Y11" s="104" t="s">
        <v>9</v>
      </c>
      <c r="Z11" s="104" t="s">
        <v>10</v>
      </c>
      <c r="AA11" s="22" t="s">
        <v>11</v>
      </c>
      <c r="AB11" s="106" t="s">
        <v>12</v>
      </c>
      <c r="AC11" s="107"/>
      <c r="AD11" s="23" t="s">
        <v>13</v>
      </c>
      <c r="AE11" s="108" t="s">
        <v>14</v>
      </c>
      <c r="AG11" s="104" t="s">
        <v>9</v>
      </c>
      <c r="AH11" s="104" t="s">
        <v>10</v>
      </c>
      <c r="AI11" s="22" t="s">
        <v>11</v>
      </c>
      <c r="AJ11" s="106" t="s">
        <v>12</v>
      </c>
      <c r="AK11" s="107"/>
      <c r="AL11" s="23" t="s">
        <v>13</v>
      </c>
      <c r="AM11" s="108" t="s">
        <v>14</v>
      </c>
    </row>
    <row r="12" spans="1:39" ht="16.2" thickBot="1" x14ac:dyDescent="0.35">
      <c r="A12" s="105"/>
      <c r="B12" s="105"/>
      <c r="C12" s="25" t="s">
        <v>15</v>
      </c>
      <c r="D12" s="26" t="s">
        <v>15</v>
      </c>
      <c r="E12" s="27" t="s">
        <v>16</v>
      </c>
      <c r="F12" s="28" t="s">
        <v>15</v>
      </c>
      <c r="G12" s="109"/>
      <c r="I12" s="105"/>
      <c r="J12" s="105"/>
      <c r="K12" s="25" t="s">
        <v>15</v>
      </c>
      <c r="L12" s="26" t="s">
        <v>15</v>
      </c>
      <c r="M12" s="27" t="s">
        <v>16</v>
      </c>
      <c r="N12" s="28" t="s">
        <v>15</v>
      </c>
      <c r="O12" s="109"/>
      <c r="Q12" s="105"/>
      <c r="R12" s="105"/>
      <c r="S12" s="25" t="s">
        <v>15</v>
      </c>
      <c r="T12" s="26" t="s">
        <v>15</v>
      </c>
      <c r="U12" s="27" t="s">
        <v>16</v>
      </c>
      <c r="V12" s="28" t="s">
        <v>15</v>
      </c>
      <c r="W12" s="109"/>
      <c r="Y12" s="105"/>
      <c r="Z12" s="105"/>
      <c r="AA12" s="25" t="s">
        <v>15</v>
      </c>
      <c r="AB12" s="26" t="s">
        <v>15</v>
      </c>
      <c r="AC12" s="27" t="s">
        <v>16</v>
      </c>
      <c r="AD12" s="28" t="s">
        <v>15</v>
      </c>
      <c r="AE12" s="109"/>
      <c r="AG12" s="105"/>
      <c r="AH12" s="105"/>
      <c r="AI12" s="25" t="s">
        <v>15</v>
      </c>
      <c r="AJ12" s="26" t="s">
        <v>15</v>
      </c>
      <c r="AK12" s="27" t="s">
        <v>16</v>
      </c>
      <c r="AL12" s="28" t="s">
        <v>15</v>
      </c>
      <c r="AM12" s="109"/>
    </row>
    <row r="13" spans="1:39" ht="26.1" customHeight="1" thickBot="1" x14ac:dyDescent="0.4">
      <c r="A13" s="30" t="s">
        <v>24</v>
      </c>
      <c r="B13" s="31" t="s">
        <v>25</v>
      </c>
      <c r="C13" s="31">
        <v>18</v>
      </c>
      <c r="D13" s="32"/>
      <c r="E13" s="33"/>
      <c r="F13" s="31">
        <f>C13-D13</f>
        <v>18</v>
      </c>
      <c r="G13" s="31"/>
      <c r="I13" s="30" t="s">
        <v>24</v>
      </c>
      <c r="J13" s="31" t="s">
        <v>25</v>
      </c>
      <c r="K13" s="31">
        <v>24</v>
      </c>
      <c r="L13" s="32"/>
      <c r="M13" s="33"/>
      <c r="N13" s="31">
        <f>K13-L13</f>
        <v>24</v>
      </c>
      <c r="O13" s="31"/>
      <c r="Q13" s="30" t="s">
        <v>24</v>
      </c>
      <c r="R13" s="31" t="s">
        <v>25</v>
      </c>
      <c r="S13" s="31">
        <v>24</v>
      </c>
      <c r="T13" s="32"/>
      <c r="U13" s="33"/>
      <c r="V13" s="31">
        <f>S13-T13</f>
        <v>24</v>
      </c>
      <c r="W13" s="31"/>
      <c r="Y13" s="30" t="s">
        <v>24</v>
      </c>
      <c r="Z13" s="31" t="s">
        <v>25</v>
      </c>
      <c r="AA13" s="31">
        <v>24</v>
      </c>
      <c r="AB13" s="32"/>
      <c r="AC13" s="33"/>
      <c r="AD13" s="31">
        <f>AA13-AB13</f>
        <v>24</v>
      </c>
      <c r="AE13" s="31"/>
      <c r="AG13" s="30" t="s">
        <v>24</v>
      </c>
      <c r="AH13" s="31" t="s">
        <v>25</v>
      </c>
      <c r="AI13" s="31">
        <v>24</v>
      </c>
      <c r="AJ13" s="32"/>
      <c r="AK13" s="33"/>
      <c r="AL13" s="31">
        <f>AI13-AJ13</f>
        <v>24</v>
      </c>
      <c r="AM13" s="31"/>
    </row>
    <row r="14" spans="1:39" ht="26.1" customHeight="1" thickBot="1" x14ac:dyDescent="0.4">
      <c r="A14" s="34"/>
      <c r="B14" s="34"/>
      <c r="C14" s="34"/>
      <c r="D14" s="35"/>
      <c r="E14" s="36"/>
      <c r="F14" s="31">
        <f t="shared" ref="F14:F28" si="0">C14-D14</f>
        <v>0</v>
      </c>
      <c r="G14" s="34"/>
      <c r="I14" s="34"/>
      <c r="J14" s="34"/>
      <c r="K14" s="34"/>
      <c r="L14" s="35"/>
      <c r="M14" s="36"/>
      <c r="N14" s="31">
        <f t="shared" ref="N14:N28" si="1">K14-L14</f>
        <v>0</v>
      </c>
      <c r="O14" s="34"/>
      <c r="Q14" s="34"/>
      <c r="R14" s="34"/>
      <c r="S14" s="34"/>
      <c r="T14" s="35"/>
      <c r="U14" s="36"/>
      <c r="V14" s="31">
        <f t="shared" ref="V14:V28" si="2">S14-T14</f>
        <v>0</v>
      </c>
      <c r="W14" s="34"/>
      <c r="Y14" s="34"/>
      <c r="Z14" s="34"/>
      <c r="AA14" s="34"/>
      <c r="AB14" s="35"/>
      <c r="AC14" s="36"/>
      <c r="AD14" s="31">
        <f t="shared" ref="AD14:AD28" si="3">AA14-AB14</f>
        <v>0</v>
      </c>
      <c r="AE14" s="34"/>
      <c r="AG14" s="34"/>
      <c r="AH14" s="34"/>
      <c r="AI14" s="34"/>
      <c r="AJ14" s="35"/>
      <c r="AK14" s="36"/>
      <c r="AL14" s="31">
        <f t="shared" ref="AL14:AL28" si="4">AI14-AJ14</f>
        <v>0</v>
      </c>
      <c r="AM14" s="34"/>
    </row>
    <row r="15" spans="1:39" ht="26.1" customHeight="1" thickBot="1" x14ac:dyDescent="0.4">
      <c r="A15" s="34"/>
      <c r="B15" s="34"/>
      <c r="C15" s="34"/>
      <c r="D15" s="35"/>
      <c r="E15" s="36"/>
      <c r="F15" s="31">
        <f t="shared" si="0"/>
        <v>0</v>
      </c>
      <c r="G15" s="34"/>
      <c r="I15" s="34"/>
      <c r="J15" s="34"/>
      <c r="K15" s="34"/>
      <c r="L15" s="35"/>
      <c r="M15" s="36"/>
      <c r="N15" s="31">
        <f t="shared" si="1"/>
        <v>0</v>
      </c>
      <c r="O15" s="34"/>
      <c r="Q15" s="34"/>
      <c r="R15" s="34"/>
      <c r="S15" s="34"/>
      <c r="T15" s="35"/>
      <c r="U15" s="36"/>
      <c r="V15" s="31">
        <f t="shared" si="2"/>
        <v>0</v>
      </c>
      <c r="W15" s="34"/>
      <c r="Y15" s="34"/>
      <c r="Z15" s="34"/>
      <c r="AA15" s="34"/>
      <c r="AB15" s="35"/>
      <c r="AC15" s="36"/>
      <c r="AD15" s="31">
        <f t="shared" si="3"/>
        <v>0</v>
      </c>
      <c r="AE15" s="34"/>
      <c r="AG15" s="34"/>
      <c r="AH15" s="34"/>
      <c r="AI15" s="34"/>
      <c r="AJ15" s="35"/>
      <c r="AK15" s="36"/>
      <c r="AL15" s="31">
        <f t="shared" si="4"/>
        <v>0</v>
      </c>
      <c r="AM15" s="34"/>
    </row>
    <row r="16" spans="1:39" ht="26.1" customHeight="1" thickBot="1" x14ac:dyDescent="0.4">
      <c r="A16" s="37"/>
      <c r="B16" s="34"/>
      <c r="C16" s="34"/>
      <c r="D16" s="35"/>
      <c r="E16" s="36"/>
      <c r="F16" s="31">
        <f t="shared" si="0"/>
        <v>0</v>
      </c>
      <c r="G16" s="34"/>
      <c r="I16" s="37"/>
      <c r="J16" s="34"/>
      <c r="K16" s="34"/>
      <c r="L16" s="35"/>
      <c r="M16" s="36"/>
      <c r="N16" s="31">
        <f t="shared" si="1"/>
        <v>0</v>
      </c>
      <c r="O16" s="34"/>
      <c r="Q16" s="37"/>
      <c r="R16" s="34"/>
      <c r="S16" s="34"/>
      <c r="T16" s="35"/>
      <c r="U16" s="36"/>
      <c r="V16" s="31">
        <f t="shared" si="2"/>
        <v>0</v>
      </c>
      <c r="W16" s="34"/>
      <c r="Y16" s="37"/>
      <c r="Z16" s="34"/>
      <c r="AA16" s="34"/>
      <c r="AB16" s="35"/>
      <c r="AC16" s="36"/>
      <c r="AD16" s="31">
        <f t="shared" si="3"/>
        <v>0</v>
      </c>
      <c r="AE16" s="34"/>
      <c r="AG16" s="37"/>
      <c r="AH16" s="34"/>
      <c r="AI16" s="34"/>
      <c r="AJ16" s="35"/>
      <c r="AK16" s="36"/>
      <c r="AL16" s="31">
        <f t="shared" si="4"/>
        <v>0</v>
      </c>
      <c r="AM16" s="34"/>
    </row>
    <row r="17" spans="1:39" ht="26.1" customHeight="1" thickBot="1" x14ac:dyDescent="0.4">
      <c r="A17" s="34"/>
      <c r="B17" s="34"/>
      <c r="C17" s="34"/>
      <c r="D17" s="35"/>
      <c r="E17" s="36"/>
      <c r="F17" s="31">
        <f t="shared" si="0"/>
        <v>0</v>
      </c>
      <c r="G17" s="34"/>
      <c r="I17" s="34"/>
      <c r="J17" s="34"/>
      <c r="K17" s="34"/>
      <c r="L17" s="35"/>
      <c r="M17" s="36"/>
      <c r="N17" s="31">
        <f t="shared" si="1"/>
        <v>0</v>
      </c>
      <c r="O17" s="34"/>
      <c r="Q17" s="34"/>
      <c r="R17" s="34"/>
      <c r="S17" s="34"/>
      <c r="T17" s="35"/>
      <c r="U17" s="36"/>
      <c r="V17" s="31">
        <f t="shared" si="2"/>
        <v>0</v>
      </c>
      <c r="W17" s="34"/>
      <c r="Y17" s="34"/>
      <c r="Z17" s="34"/>
      <c r="AA17" s="34"/>
      <c r="AB17" s="35"/>
      <c r="AC17" s="36"/>
      <c r="AD17" s="31">
        <f t="shared" si="3"/>
        <v>0</v>
      </c>
      <c r="AE17" s="34"/>
      <c r="AG17" s="34"/>
      <c r="AH17" s="34"/>
      <c r="AI17" s="34"/>
      <c r="AJ17" s="35"/>
      <c r="AK17" s="36"/>
      <c r="AL17" s="31">
        <f t="shared" si="4"/>
        <v>0</v>
      </c>
      <c r="AM17" s="34"/>
    </row>
    <row r="18" spans="1:39" ht="26.1" customHeight="1" thickBot="1" x14ac:dyDescent="0.4">
      <c r="A18" s="34"/>
      <c r="B18" s="34"/>
      <c r="C18" s="34"/>
      <c r="D18" s="35"/>
      <c r="E18" s="36"/>
      <c r="F18" s="31">
        <f t="shared" si="0"/>
        <v>0</v>
      </c>
      <c r="G18" s="34"/>
      <c r="I18" s="34"/>
      <c r="J18" s="34"/>
      <c r="K18" s="34"/>
      <c r="L18" s="35"/>
      <c r="M18" s="36"/>
      <c r="N18" s="31">
        <f t="shared" si="1"/>
        <v>0</v>
      </c>
      <c r="O18" s="34"/>
      <c r="Q18" s="34"/>
      <c r="R18" s="34"/>
      <c r="S18" s="34"/>
      <c r="T18" s="35"/>
      <c r="U18" s="36"/>
      <c r="V18" s="31">
        <f t="shared" si="2"/>
        <v>0</v>
      </c>
      <c r="W18" s="34"/>
      <c r="Y18" s="34"/>
      <c r="Z18" s="34"/>
      <c r="AA18" s="34"/>
      <c r="AB18" s="35"/>
      <c r="AC18" s="36"/>
      <c r="AD18" s="31">
        <f t="shared" si="3"/>
        <v>0</v>
      </c>
      <c r="AE18" s="34"/>
      <c r="AG18" s="34"/>
      <c r="AH18" s="34"/>
      <c r="AI18" s="34"/>
      <c r="AJ18" s="35"/>
      <c r="AK18" s="36"/>
      <c r="AL18" s="31">
        <f t="shared" si="4"/>
        <v>0</v>
      </c>
      <c r="AM18" s="34"/>
    </row>
    <row r="19" spans="1:39" ht="26.1" customHeight="1" thickBot="1" x14ac:dyDescent="0.4">
      <c r="A19" s="34"/>
      <c r="B19" s="34"/>
      <c r="C19" s="34"/>
      <c r="D19" s="35"/>
      <c r="E19" s="36"/>
      <c r="F19" s="31">
        <f t="shared" si="0"/>
        <v>0</v>
      </c>
      <c r="G19" s="34"/>
      <c r="I19" s="34"/>
      <c r="J19" s="34"/>
      <c r="K19" s="34"/>
      <c r="L19" s="35"/>
      <c r="M19" s="36"/>
      <c r="N19" s="31">
        <f t="shared" si="1"/>
        <v>0</v>
      </c>
      <c r="O19" s="34"/>
      <c r="Q19" s="34"/>
      <c r="R19" s="34"/>
      <c r="S19" s="34"/>
      <c r="T19" s="35"/>
      <c r="U19" s="36"/>
      <c r="V19" s="31">
        <f t="shared" si="2"/>
        <v>0</v>
      </c>
      <c r="W19" s="34"/>
      <c r="Y19" s="34"/>
      <c r="Z19" s="34"/>
      <c r="AA19" s="34"/>
      <c r="AB19" s="35"/>
      <c r="AC19" s="36"/>
      <c r="AD19" s="31">
        <f t="shared" si="3"/>
        <v>0</v>
      </c>
      <c r="AE19" s="34"/>
      <c r="AG19" s="34"/>
      <c r="AH19" s="34"/>
      <c r="AI19" s="34"/>
      <c r="AJ19" s="35"/>
      <c r="AK19" s="36"/>
      <c r="AL19" s="31">
        <f t="shared" si="4"/>
        <v>0</v>
      </c>
      <c r="AM19" s="34"/>
    </row>
    <row r="20" spans="1:39" ht="26.1" customHeight="1" thickBot="1" x14ac:dyDescent="0.4">
      <c r="A20" s="34"/>
      <c r="B20" s="34"/>
      <c r="C20" s="34"/>
      <c r="D20" s="35"/>
      <c r="E20" s="36"/>
      <c r="F20" s="31">
        <f t="shared" si="0"/>
        <v>0</v>
      </c>
      <c r="G20" s="34"/>
      <c r="I20" s="34"/>
      <c r="J20" s="34"/>
      <c r="K20" s="34"/>
      <c r="L20" s="35"/>
      <c r="M20" s="36"/>
      <c r="N20" s="31">
        <f t="shared" si="1"/>
        <v>0</v>
      </c>
      <c r="O20" s="34"/>
      <c r="Q20" s="34"/>
      <c r="R20" s="34"/>
      <c r="S20" s="34"/>
      <c r="T20" s="35"/>
      <c r="U20" s="36"/>
      <c r="V20" s="31">
        <f t="shared" si="2"/>
        <v>0</v>
      </c>
      <c r="W20" s="34"/>
      <c r="Y20" s="34"/>
      <c r="Z20" s="34"/>
      <c r="AA20" s="34"/>
      <c r="AB20" s="35"/>
      <c r="AC20" s="36"/>
      <c r="AD20" s="31">
        <f t="shared" si="3"/>
        <v>0</v>
      </c>
      <c r="AE20" s="34"/>
      <c r="AG20" s="34"/>
      <c r="AH20" s="34"/>
      <c r="AI20" s="34"/>
      <c r="AJ20" s="35"/>
      <c r="AK20" s="36"/>
      <c r="AL20" s="31">
        <f t="shared" si="4"/>
        <v>0</v>
      </c>
      <c r="AM20" s="34"/>
    </row>
    <row r="21" spans="1:39" ht="26.1" customHeight="1" thickBot="1" x14ac:dyDescent="0.4">
      <c r="A21" s="34"/>
      <c r="B21" s="34"/>
      <c r="C21" s="34"/>
      <c r="D21" s="35"/>
      <c r="E21" s="36"/>
      <c r="F21" s="31">
        <f t="shared" si="0"/>
        <v>0</v>
      </c>
      <c r="G21" s="34"/>
      <c r="I21" s="34"/>
      <c r="J21" s="34"/>
      <c r="K21" s="34"/>
      <c r="L21" s="35"/>
      <c r="M21" s="36"/>
      <c r="N21" s="31">
        <f t="shared" si="1"/>
        <v>0</v>
      </c>
      <c r="O21" s="34"/>
      <c r="Q21" s="34"/>
      <c r="R21" s="34"/>
      <c r="S21" s="34"/>
      <c r="T21" s="35"/>
      <c r="U21" s="36"/>
      <c r="V21" s="31">
        <f t="shared" si="2"/>
        <v>0</v>
      </c>
      <c r="W21" s="34"/>
      <c r="Y21" s="34"/>
      <c r="Z21" s="34"/>
      <c r="AA21" s="34"/>
      <c r="AB21" s="35"/>
      <c r="AC21" s="36"/>
      <c r="AD21" s="31">
        <f t="shared" si="3"/>
        <v>0</v>
      </c>
      <c r="AE21" s="34"/>
      <c r="AG21" s="34"/>
      <c r="AH21" s="34"/>
      <c r="AI21" s="34"/>
      <c r="AJ21" s="35"/>
      <c r="AK21" s="36"/>
      <c r="AL21" s="31">
        <f t="shared" si="4"/>
        <v>0</v>
      </c>
      <c r="AM21" s="34"/>
    </row>
    <row r="22" spans="1:39" ht="26.1" customHeight="1" thickBot="1" x14ac:dyDescent="0.4">
      <c r="A22" s="34"/>
      <c r="B22" s="34"/>
      <c r="C22" s="34"/>
      <c r="D22" s="35"/>
      <c r="E22" s="36"/>
      <c r="F22" s="31">
        <f t="shared" si="0"/>
        <v>0</v>
      </c>
      <c r="G22" s="34"/>
      <c r="I22" s="34"/>
      <c r="J22" s="34"/>
      <c r="K22" s="34"/>
      <c r="L22" s="35"/>
      <c r="M22" s="36"/>
      <c r="N22" s="31">
        <f t="shared" si="1"/>
        <v>0</v>
      </c>
      <c r="O22" s="34"/>
      <c r="Q22" s="34"/>
      <c r="R22" s="34"/>
      <c r="S22" s="34"/>
      <c r="T22" s="35"/>
      <c r="U22" s="36"/>
      <c r="V22" s="31">
        <f t="shared" si="2"/>
        <v>0</v>
      </c>
      <c r="W22" s="34"/>
      <c r="Y22" s="34"/>
      <c r="Z22" s="34"/>
      <c r="AA22" s="34"/>
      <c r="AB22" s="35"/>
      <c r="AC22" s="36"/>
      <c r="AD22" s="31">
        <f t="shared" si="3"/>
        <v>0</v>
      </c>
      <c r="AE22" s="34"/>
      <c r="AG22" s="34"/>
      <c r="AH22" s="34"/>
      <c r="AI22" s="34"/>
      <c r="AJ22" s="35"/>
      <c r="AK22" s="36"/>
      <c r="AL22" s="31">
        <f t="shared" si="4"/>
        <v>0</v>
      </c>
      <c r="AM22" s="34"/>
    </row>
    <row r="23" spans="1:39" ht="26.1" customHeight="1" thickBot="1" x14ac:dyDescent="0.4">
      <c r="A23" s="34"/>
      <c r="B23" s="34"/>
      <c r="C23" s="34"/>
      <c r="D23" s="35"/>
      <c r="E23" s="36"/>
      <c r="F23" s="31">
        <f t="shared" si="0"/>
        <v>0</v>
      </c>
      <c r="G23" s="34"/>
      <c r="I23" s="34"/>
      <c r="J23" s="34"/>
      <c r="K23" s="34"/>
      <c r="L23" s="35"/>
      <c r="M23" s="36"/>
      <c r="N23" s="31">
        <f t="shared" si="1"/>
        <v>0</v>
      </c>
      <c r="O23" s="34"/>
      <c r="Q23" s="34"/>
      <c r="R23" s="34"/>
      <c r="S23" s="34"/>
      <c r="T23" s="35"/>
      <c r="U23" s="36"/>
      <c r="V23" s="31">
        <f t="shared" si="2"/>
        <v>0</v>
      </c>
      <c r="W23" s="34"/>
      <c r="Y23" s="34"/>
      <c r="Z23" s="34"/>
      <c r="AA23" s="34"/>
      <c r="AB23" s="35"/>
      <c r="AC23" s="36"/>
      <c r="AD23" s="31">
        <f t="shared" si="3"/>
        <v>0</v>
      </c>
      <c r="AE23" s="34"/>
      <c r="AG23" s="34"/>
      <c r="AH23" s="34"/>
      <c r="AI23" s="34"/>
      <c r="AJ23" s="35"/>
      <c r="AK23" s="36"/>
      <c r="AL23" s="31">
        <f t="shared" si="4"/>
        <v>0</v>
      </c>
      <c r="AM23" s="34"/>
    </row>
    <row r="24" spans="1:39" ht="26.1" customHeight="1" thickBot="1" x14ac:dyDescent="0.4">
      <c r="A24" s="34"/>
      <c r="B24" s="34"/>
      <c r="C24" s="34"/>
      <c r="D24" s="35"/>
      <c r="E24" s="36"/>
      <c r="F24" s="31">
        <f t="shared" si="0"/>
        <v>0</v>
      </c>
      <c r="G24" s="34"/>
      <c r="I24" s="34"/>
      <c r="J24" s="34"/>
      <c r="K24" s="34"/>
      <c r="L24" s="35"/>
      <c r="M24" s="36"/>
      <c r="N24" s="31">
        <f t="shared" si="1"/>
        <v>0</v>
      </c>
      <c r="O24" s="34"/>
      <c r="Q24" s="34"/>
      <c r="R24" s="34"/>
      <c r="S24" s="34"/>
      <c r="T24" s="35"/>
      <c r="U24" s="36"/>
      <c r="V24" s="31">
        <f t="shared" si="2"/>
        <v>0</v>
      </c>
      <c r="W24" s="34"/>
      <c r="Y24" s="34"/>
      <c r="Z24" s="34"/>
      <c r="AA24" s="34"/>
      <c r="AB24" s="35"/>
      <c r="AC24" s="36"/>
      <c r="AD24" s="31">
        <f t="shared" si="3"/>
        <v>0</v>
      </c>
      <c r="AE24" s="34"/>
      <c r="AG24" s="34"/>
      <c r="AH24" s="34"/>
      <c r="AI24" s="34"/>
      <c r="AJ24" s="35"/>
      <c r="AK24" s="36"/>
      <c r="AL24" s="31">
        <f t="shared" si="4"/>
        <v>0</v>
      </c>
      <c r="AM24" s="34"/>
    </row>
    <row r="25" spans="1:39" ht="26.1" customHeight="1" thickBot="1" x14ac:dyDescent="0.4">
      <c r="A25" s="34"/>
      <c r="B25" s="34"/>
      <c r="C25" s="34"/>
      <c r="D25" s="35"/>
      <c r="E25" s="36"/>
      <c r="F25" s="31">
        <f t="shared" si="0"/>
        <v>0</v>
      </c>
      <c r="G25" s="34"/>
      <c r="I25" s="34"/>
      <c r="J25" s="34"/>
      <c r="K25" s="34"/>
      <c r="L25" s="35"/>
      <c r="M25" s="36"/>
      <c r="N25" s="31">
        <f t="shared" si="1"/>
        <v>0</v>
      </c>
      <c r="O25" s="34"/>
      <c r="Q25" s="34"/>
      <c r="R25" s="34"/>
      <c r="S25" s="34"/>
      <c r="T25" s="35"/>
      <c r="U25" s="36"/>
      <c r="V25" s="31">
        <f t="shared" si="2"/>
        <v>0</v>
      </c>
      <c r="W25" s="34"/>
      <c r="Y25" s="34"/>
      <c r="Z25" s="34"/>
      <c r="AA25" s="34"/>
      <c r="AB25" s="35"/>
      <c r="AC25" s="36"/>
      <c r="AD25" s="31">
        <f t="shared" si="3"/>
        <v>0</v>
      </c>
      <c r="AE25" s="34"/>
      <c r="AG25" s="34"/>
      <c r="AH25" s="34"/>
      <c r="AI25" s="34"/>
      <c r="AJ25" s="35"/>
      <c r="AK25" s="36"/>
      <c r="AL25" s="31">
        <f t="shared" si="4"/>
        <v>0</v>
      </c>
      <c r="AM25" s="34"/>
    </row>
    <row r="26" spans="1:39" ht="26.1" customHeight="1" thickBot="1" x14ac:dyDescent="0.4">
      <c r="A26" s="34"/>
      <c r="B26" s="34"/>
      <c r="C26" s="34"/>
      <c r="D26" s="35"/>
      <c r="E26" s="36"/>
      <c r="F26" s="31">
        <f t="shared" si="0"/>
        <v>0</v>
      </c>
      <c r="G26" s="34"/>
      <c r="I26" s="34"/>
      <c r="J26" s="34"/>
      <c r="K26" s="34"/>
      <c r="L26" s="35"/>
      <c r="M26" s="36"/>
      <c r="N26" s="31">
        <f t="shared" si="1"/>
        <v>0</v>
      </c>
      <c r="O26" s="34"/>
      <c r="Q26" s="34"/>
      <c r="R26" s="34"/>
      <c r="S26" s="34"/>
      <c r="T26" s="35"/>
      <c r="U26" s="36"/>
      <c r="V26" s="31">
        <f t="shared" si="2"/>
        <v>0</v>
      </c>
      <c r="W26" s="34"/>
      <c r="Y26" s="34"/>
      <c r="Z26" s="34"/>
      <c r="AA26" s="34"/>
      <c r="AB26" s="35"/>
      <c r="AC26" s="36"/>
      <c r="AD26" s="31">
        <f t="shared" si="3"/>
        <v>0</v>
      </c>
      <c r="AE26" s="34"/>
      <c r="AG26" s="34"/>
      <c r="AH26" s="34"/>
      <c r="AI26" s="34"/>
      <c r="AJ26" s="35"/>
      <c r="AK26" s="36"/>
      <c r="AL26" s="31">
        <f t="shared" si="4"/>
        <v>0</v>
      </c>
      <c r="AM26" s="34"/>
    </row>
    <row r="27" spans="1:39" ht="26.1" customHeight="1" thickBot="1" x14ac:dyDescent="0.4">
      <c r="A27" s="34"/>
      <c r="B27" s="34"/>
      <c r="C27" s="34"/>
      <c r="D27" s="35"/>
      <c r="E27" s="36"/>
      <c r="F27" s="31">
        <f t="shared" si="0"/>
        <v>0</v>
      </c>
      <c r="G27" s="34"/>
      <c r="I27" s="34"/>
      <c r="J27" s="34"/>
      <c r="K27" s="34"/>
      <c r="L27" s="35"/>
      <c r="M27" s="36"/>
      <c r="N27" s="31">
        <f t="shared" si="1"/>
        <v>0</v>
      </c>
      <c r="O27" s="34"/>
      <c r="Q27" s="34"/>
      <c r="R27" s="34"/>
      <c r="S27" s="34"/>
      <c r="T27" s="35"/>
      <c r="U27" s="36"/>
      <c r="V27" s="31">
        <f t="shared" si="2"/>
        <v>0</v>
      </c>
      <c r="W27" s="34"/>
      <c r="Y27" s="34"/>
      <c r="Z27" s="34"/>
      <c r="AA27" s="34"/>
      <c r="AB27" s="35"/>
      <c r="AC27" s="36"/>
      <c r="AD27" s="31">
        <f t="shared" si="3"/>
        <v>0</v>
      </c>
      <c r="AE27" s="34"/>
      <c r="AG27" s="34"/>
      <c r="AH27" s="34"/>
      <c r="AI27" s="34"/>
      <c r="AJ27" s="35"/>
      <c r="AK27" s="36"/>
      <c r="AL27" s="31">
        <f t="shared" si="4"/>
        <v>0</v>
      </c>
      <c r="AM27" s="34"/>
    </row>
    <row r="28" spans="1:39" ht="26.1" customHeight="1" x14ac:dyDescent="0.35">
      <c r="A28" s="34"/>
      <c r="B28" s="34"/>
      <c r="C28" s="34"/>
      <c r="D28" s="35"/>
      <c r="E28" s="36"/>
      <c r="F28" s="31">
        <f t="shared" si="0"/>
        <v>0</v>
      </c>
      <c r="G28" s="34"/>
      <c r="I28" s="34"/>
      <c r="J28" s="34"/>
      <c r="K28" s="34"/>
      <c r="L28" s="35"/>
      <c r="M28" s="36"/>
      <c r="N28" s="31">
        <f t="shared" si="1"/>
        <v>0</v>
      </c>
      <c r="O28" s="34"/>
      <c r="Q28" s="34"/>
      <c r="R28" s="34"/>
      <c r="S28" s="34"/>
      <c r="T28" s="35"/>
      <c r="U28" s="36"/>
      <c r="V28" s="31">
        <f t="shared" si="2"/>
        <v>0</v>
      </c>
      <c r="W28" s="34"/>
      <c r="Y28" s="34"/>
      <c r="Z28" s="34"/>
      <c r="AA28" s="34"/>
      <c r="AB28" s="35"/>
      <c r="AC28" s="36"/>
      <c r="AD28" s="31">
        <f t="shared" si="3"/>
        <v>0</v>
      </c>
      <c r="AE28" s="34"/>
      <c r="AG28" s="34"/>
      <c r="AH28" s="34"/>
      <c r="AI28" s="34"/>
      <c r="AJ28" s="35"/>
      <c r="AK28" s="36"/>
      <c r="AL28" s="31">
        <f t="shared" si="4"/>
        <v>0</v>
      </c>
      <c r="AM28" s="34"/>
    </row>
    <row r="29" spans="1:39" ht="26.1" customHeight="1" x14ac:dyDescent="0.35">
      <c r="A29" s="34"/>
      <c r="B29" s="34"/>
      <c r="C29" s="34"/>
      <c r="D29" s="35"/>
      <c r="E29" s="36"/>
      <c r="F29" s="34"/>
      <c r="G29" s="34"/>
      <c r="I29" s="34"/>
      <c r="J29" s="34"/>
      <c r="K29" s="34"/>
      <c r="L29" s="35"/>
      <c r="M29" s="36"/>
      <c r="N29" s="34"/>
      <c r="O29" s="34"/>
      <c r="Q29" s="34"/>
      <c r="R29" s="34"/>
      <c r="S29" s="34"/>
      <c r="T29" s="35"/>
      <c r="U29" s="36"/>
      <c r="V29" s="34"/>
      <c r="W29" s="34"/>
      <c r="Y29" s="34"/>
      <c r="Z29" s="34"/>
      <c r="AA29" s="34"/>
      <c r="AB29" s="35"/>
      <c r="AC29" s="36"/>
      <c r="AD29" s="34"/>
      <c r="AE29" s="34"/>
      <c r="AG29" s="34"/>
      <c r="AH29" s="34"/>
      <c r="AI29" s="34"/>
      <c r="AJ29" s="35"/>
      <c r="AK29" s="36"/>
      <c r="AL29" s="34"/>
      <c r="AM29" s="34"/>
    </row>
    <row r="30" spans="1:39" ht="26.1" customHeight="1" x14ac:dyDescent="0.35">
      <c r="A30" s="34"/>
      <c r="B30" s="34"/>
      <c r="C30" s="34"/>
      <c r="D30" s="35"/>
      <c r="E30" s="36"/>
      <c r="F30" s="34"/>
      <c r="G30" s="34"/>
      <c r="I30" s="34"/>
      <c r="J30" s="34"/>
      <c r="K30" s="34"/>
      <c r="L30" s="35"/>
      <c r="M30" s="36"/>
      <c r="N30" s="34"/>
      <c r="O30" s="34"/>
      <c r="Q30" s="34"/>
      <c r="R30" s="34"/>
      <c r="S30" s="34"/>
      <c r="T30" s="35"/>
      <c r="U30" s="36"/>
      <c r="V30" s="34"/>
      <c r="W30" s="34"/>
      <c r="Y30" s="34"/>
      <c r="Z30" s="34"/>
      <c r="AA30" s="34"/>
      <c r="AB30" s="35"/>
      <c r="AC30" s="36"/>
      <c r="AD30" s="34"/>
      <c r="AE30" s="34"/>
      <c r="AG30" s="34"/>
      <c r="AH30" s="34"/>
      <c r="AI30" s="34"/>
      <c r="AJ30" s="35"/>
      <c r="AK30" s="36"/>
      <c r="AL30" s="34"/>
      <c r="AM30" s="34"/>
    </row>
    <row r="31" spans="1:39" ht="26.1" customHeight="1" x14ac:dyDescent="0.35">
      <c r="A31" s="34"/>
      <c r="B31" s="34"/>
      <c r="C31" s="34"/>
      <c r="D31" s="35"/>
      <c r="E31" s="36"/>
      <c r="F31" s="34"/>
      <c r="G31" s="34"/>
      <c r="I31" s="34"/>
      <c r="J31" s="34"/>
      <c r="K31" s="34"/>
      <c r="L31" s="35"/>
      <c r="M31" s="36"/>
      <c r="N31" s="34"/>
      <c r="O31" s="34"/>
      <c r="Q31" s="34"/>
      <c r="R31" s="34"/>
      <c r="S31" s="34"/>
      <c r="T31" s="35"/>
      <c r="U31" s="36"/>
      <c r="V31" s="34"/>
      <c r="W31" s="34"/>
      <c r="Y31" s="34"/>
      <c r="Z31" s="34"/>
      <c r="AA31" s="34"/>
      <c r="AB31" s="35"/>
      <c r="AC31" s="36"/>
      <c r="AD31" s="34"/>
      <c r="AE31" s="34"/>
      <c r="AG31" s="34"/>
      <c r="AH31" s="34"/>
      <c r="AI31" s="34"/>
      <c r="AJ31" s="35"/>
      <c r="AK31" s="36"/>
      <c r="AL31" s="34"/>
      <c r="AM31" s="34"/>
    </row>
    <row r="32" spans="1:39" ht="26.1" customHeight="1" x14ac:dyDescent="0.35">
      <c r="A32" s="34"/>
      <c r="B32" s="34"/>
      <c r="C32" s="34"/>
      <c r="D32" s="35"/>
      <c r="E32" s="36"/>
      <c r="F32" s="34"/>
      <c r="G32" s="34"/>
      <c r="I32" s="34"/>
      <c r="J32" s="34"/>
      <c r="K32" s="34"/>
      <c r="L32" s="35"/>
      <c r="M32" s="36"/>
      <c r="N32" s="34"/>
      <c r="O32" s="34"/>
      <c r="Q32" s="34"/>
      <c r="R32" s="34"/>
      <c r="S32" s="34"/>
      <c r="T32" s="35"/>
      <c r="U32" s="36"/>
      <c r="V32" s="34"/>
      <c r="W32" s="34"/>
      <c r="Y32" s="34"/>
      <c r="Z32" s="34"/>
      <c r="AA32" s="34"/>
      <c r="AB32" s="35"/>
      <c r="AC32" s="36"/>
      <c r="AD32" s="34"/>
      <c r="AE32" s="34"/>
      <c r="AG32" s="34"/>
      <c r="AH32" s="34"/>
      <c r="AI32" s="34"/>
      <c r="AJ32" s="35"/>
      <c r="AK32" s="36"/>
      <c r="AL32" s="34"/>
      <c r="AM32" s="34"/>
    </row>
    <row r="33" spans="1:39" ht="26.1" customHeight="1" x14ac:dyDescent="0.35">
      <c r="A33" s="34"/>
      <c r="B33" s="34"/>
      <c r="C33" s="34"/>
      <c r="D33" s="35"/>
      <c r="E33" s="36"/>
      <c r="F33" s="34"/>
      <c r="G33" s="34"/>
      <c r="I33" s="34"/>
      <c r="J33" s="34"/>
      <c r="K33" s="34"/>
      <c r="L33" s="35"/>
      <c r="M33" s="36"/>
      <c r="N33" s="34"/>
      <c r="O33" s="34"/>
      <c r="Q33" s="34"/>
      <c r="R33" s="34"/>
      <c r="S33" s="34"/>
      <c r="T33" s="35"/>
      <c r="U33" s="36"/>
      <c r="V33" s="34"/>
      <c r="W33" s="34"/>
      <c r="Y33" s="34"/>
      <c r="Z33" s="34"/>
      <c r="AA33" s="34"/>
      <c r="AB33" s="35"/>
      <c r="AC33" s="36"/>
      <c r="AD33" s="34"/>
      <c r="AE33" s="34"/>
      <c r="AG33" s="34"/>
      <c r="AH33" s="34"/>
      <c r="AI33" s="34"/>
      <c r="AJ33" s="35"/>
      <c r="AK33" s="36"/>
      <c r="AL33" s="34"/>
      <c r="AM33" s="34"/>
    </row>
    <row r="34" spans="1:39" ht="26.1" customHeight="1" x14ac:dyDescent="0.35">
      <c r="A34" s="34"/>
      <c r="B34" s="34"/>
      <c r="C34" s="34"/>
      <c r="D34" s="35"/>
      <c r="E34" s="36"/>
      <c r="F34" s="34"/>
      <c r="G34" s="34"/>
      <c r="I34" s="34"/>
      <c r="J34" s="34"/>
      <c r="K34" s="34"/>
      <c r="L34" s="35"/>
      <c r="M34" s="36"/>
      <c r="N34" s="34"/>
      <c r="O34" s="34"/>
      <c r="Q34" s="34"/>
      <c r="R34" s="34"/>
      <c r="S34" s="34"/>
      <c r="T34" s="35"/>
      <c r="U34" s="36"/>
      <c r="V34" s="34"/>
      <c r="W34" s="34"/>
      <c r="Y34" s="34"/>
      <c r="Z34" s="34"/>
      <c r="AA34" s="34"/>
      <c r="AB34" s="35"/>
      <c r="AC34" s="36"/>
      <c r="AD34" s="34"/>
      <c r="AE34" s="34"/>
      <c r="AG34" s="34"/>
      <c r="AH34" s="34"/>
      <c r="AI34" s="34"/>
      <c r="AJ34" s="35"/>
      <c r="AK34" s="36"/>
      <c r="AL34" s="34"/>
      <c r="AM34" s="34"/>
    </row>
    <row r="35" spans="1:39" ht="26.1" customHeight="1" x14ac:dyDescent="0.35">
      <c r="A35" s="34"/>
      <c r="B35" s="34"/>
      <c r="C35" s="34"/>
      <c r="D35" s="35"/>
      <c r="E35" s="36"/>
      <c r="F35" s="34"/>
      <c r="G35" s="34"/>
      <c r="I35" s="34"/>
      <c r="J35" s="34"/>
      <c r="K35" s="34"/>
      <c r="L35" s="35"/>
      <c r="M35" s="36"/>
      <c r="N35" s="34"/>
      <c r="O35" s="34"/>
      <c r="Q35" s="34"/>
      <c r="R35" s="34"/>
      <c r="S35" s="34"/>
      <c r="T35" s="35"/>
      <c r="U35" s="36"/>
      <c r="V35" s="34"/>
      <c r="W35" s="34"/>
      <c r="Y35" s="34"/>
      <c r="Z35" s="34"/>
      <c r="AA35" s="34"/>
      <c r="AB35" s="35"/>
      <c r="AC35" s="36"/>
      <c r="AD35" s="34"/>
      <c r="AE35" s="34"/>
      <c r="AG35" s="34"/>
      <c r="AH35" s="34"/>
      <c r="AI35" s="34"/>
      <c r="AJ35" s="35"/>
      <c r="AK35" s="36"/>
      <c r="AL35" s="34"/>
      <c r="AM35" s="34"/>
    </row>
    <row r="36" spans="1:39" ht="26.1" customHeight="1" x14ac:dyDescent="0.35">
      <c r="A36" s="34"/>
      <c r="B36" s="34"/>
      <c r="C36" s="34"/>
      <c r="D36" s="35"/>
      <c r="E36" s="36"/>
      <c r="F36" s="34"/>
      <c r="G36" s="34"/>
      <c r="I36" s="34"/>
      <c r="J36" s="34"/>
      <c r="K36" s="34"/>
      <c r="L36" s="35"/>
      <c r="M36" s="36"/>
      <c r="N36" s="34"/>
      <c r="O36" s="34"/>
      <c r="Q36" s="34"/>
      <c r="R36" s="34"/>
      <c r="S36" s="34"/>
      <c r="T36" s="35"/>
      <c r="U36" s="36"/>
      <c r="V36" s="34"/>
      <c r="W36" s="34"/>
      <c r="Y36" s="34"/>
      <c r="Z36" s="34"/>
      <c r="AA36" s="34"/>
      <c r="AB36" s="35"/>
      <c r="AC36" s="36"/>
      <c r="AD36" s="34"/>
      <c r="AE36" s="34"/>
      <c r="AG36" s="34"/>
      <c r="AH36" s="34"/>
      <c r="AI36" s="34"/>
      <c r="AJ36" s="35"/>
      <c r="AK36" s="36"/>
      <c r="AL36" s="34"/>
      <c r="AM36" s="34"/>
    </row>
    <row r="37" spans="1:39" ht="26.1" customHeight="1" x14ac:dyDescent="0.35">
      <c r="A37" s="34"/>
      <c r="B37" s="34"/>
      <c r="C37" s="34"/>
      <c r="D37" s="35"/>
      <c r="E37" s="36"/>
      <c r="F37" s="34"/>
      <c r="G37" s="34"/>
      <c r="I37" s="34"/>
      <c r="J37" s="34"/>
      <c r="K37" s="34"/>
      <c r="L37" s="35"/>
      <c r="M37" s="36"/>
      <c r="N37" s="34"/>
      <c r="O37" s="34"/>
      <c r="Q37" s="34"/>
      <c r="R37" s="34"/>
      <c r="S37" s="34"/>
      <c r="T37" s="35"/>
      <c r="U37" s="36"/>
      <c r="V37" s="34"/>
      <c r="W37" s="34"/>
      <c r="Y37" s="34"/>
      <c r="Z37" s="34"/>
      <c r="AA37" s="34"/>
      <c r="AB37" s="35"/>
      <c r="AC37" s="36"/>
      <c r="AD37" s="34"/>
      <c r="AE37" s="34"/>
      <c r="AG37" s="34"/>
      <c r="AH37" s="34"/>
      <c r="AI37" s="34"/>
      <c r="AJ37" s="35"/>
      <c r="AK37" s="36"/>
      <c r="AL37" s="34"/>
      <c r="AM37" s="34"/>
    </row>
    <row r="38" spans="1:39" ht="26.1" customHeight="1" x14ac:dyDescent="0.35">
      <c r="A38" s="34"/>
      <c r="B38" s="34"/>
      <c r="C38" s="34"/>
      <c r="D38" s="35"/>
      <c r="E38" s="36"/>
      <c r="F38" s="34"/>
      <c r="G38" s="34"/>
      <c r="I38" s="34"/>
      <c r="J38" s="34"/>
      <c r="K38" s="34"/>
      <c r="L38" s="35"/>
      <c r="M38" s="36"/>
      <c r="N38" s="34"/>
      <c r="O38" s="34"/>
      <c r="Q38" s="34"/>
      <c r="R38" s="34"/>
      <c r="S38" s="34"/>
      <c r="T38" s="35"/>
      <c r="U38" s="36"/>
      <c r="V38" s="34"/>
      <c r="W38" s="34"/>
      <c r="Y38" s="34"/>
      <c r="Z38" s="34"/>
      <c r="AA38" s="34"/>
      <c r="AB38" s="35"/>
      <c r="AC38" s="36"/>
      <c r="AD38" s="34"/>
      <c r="AE38" s="34"/>
      <c r="AG38" s="34"/>
      <c r="AH38" s="34"/>
      <c r="AI38" s="34"/>
      <c r="AJ38" s="35"/>
      <c r="AK38" s="36"/>
      <c r="AL38" s="34"/>
      <c r="AM38" s="34"/>
    </row>
    <row r="39" spans="1:39" ht="26.1" customHeight="1" x14ac:dyDescent="0.35">
      <c r="A39" s="34"/>
      <c r="B39" s="34"/>
      <c r="C39" s="34"/>
      <c r="D39" s="35"/>
      <c r="E39" s="36"/>
      <c r="F39" s="34"/>
      <c r="G39" s="34"/>
      <c r="I39" s="34"/>
      <c r="J39" s="34"/>
      <c r="K39" s="34"/>
      <c r="L39" s="35"/>
      <c r="M39" s="36"/>
      <c r="N39" s="34"/>
      <c r="O39" s="34"/>
      <c r="Q39" s="34"/>
      <c r="R39" s="34"/>
      <c r="S39" s="34"/>
      <c r="T39" s="35"/>
      <c r="U39" s="36"/>
      <c r="V39" s="34"/>
      <c r="W39" s="34"/>
      <c r="Y39" s="34"/>
      <c r="Z39" s="34"/>
      <c r="AA39" s="34"/>
      <c r="AB39" s="35"/>
      <c r="AC39" s="36"/>
      <c r="AD39" s="34"/>
      <c r="AE39" s="34"/>
      <c r="AG39" s="34"/>
      <c r="AH39" s="34"/>
      <c r="AI39" s="34"/>
      <c r="AJ39" s="35"/>
      <c r="AK39" s="36"/>
      <c r="AL39" s="34"/>
      <c r="AM39" s="34"/>
    </row>
    <row r="40" spans="1:39" ht="26.1" customHeight="1" x14ac:dyDescent="0.35">
      <c r="A40" s="34"/>
      <c r="B40" s="34"/>
      <c r="C40" s="34"/>
      <c r="D40" s="35"/>
      <c r="E40" s="36"/>
      <c r="F40" s="34"/>
      <c r="G40" s="34"/>
      <c r="I40" s="34"/>
      <c r="J40" s="34"/>
      <c r="K40" s="34"/>
      <c r="L40" s="35"/>
      <c r="M40" s="36"/>
      <c r="N40" s="34"/>
      <c r="O40" s="34"/>
      <c r="Q40" s="34"/>
      <c r="R40" s="34"/>
      <c r="S40" s="34"/>
      <c r="T40" s="35"/>
      <c r="U40" s="36"/>
      <c r="V40" s="34"/>
      <c r="W40" s="34"/>
      <c r="Y40" s="34"/>
      <c r="Z40" s="34"/>
      <c r="AA40" s="34"/>
      <c r="AB40" s="35"/>
      <c r="AC40" s="36"/>
      <c r="AD40" s="34"/>
      <c r="AE40" s="34"/>
      <c r="AG40" s="34"/>
      <c r="AH40" s="34"/>
      <c r="AI40" s="34"/>
      <c r="AJ40" s="35"/>
      <c r="AK40" s="36"/>
      <c r="AL40" s="34"/>
      <c r="AM40" s="34"/>
    </row>
    <row r="41" spans="1:39" ht="26.1" customHeight="1" x14ac:dyDescent="0.35">
      <c r="A41" s="34"/>
      <c r="B41" s="34"/>
      <c r="C41" s="34"/>
      <c r="D41" s="35"/>
      <c r="E41" s="36"/>
      <c r="F41" s="34"/>
      <c r="G41" s="34"/>
      <c r="I41" s="34"/>
      <c r="J41" s="34"/>
      <c r="K41" s="34"/>
      <c r="L41" s="35"/>
      <c r="M41" s="36"/>
      <c r="N41" s="34"/>
      <c r="O41" s="34"/>
      <c r="Q41" s="34"/>
      <c r="R41" s="34"/>
      <c r="S41" s="34"/>
      <c r="T41" s="35"/>
      <c r="U41" s="36"/>
      <c r="V41" s="34"/>
      <c r="W41" s="34"/>
      <c r="Y41" s="34"/>
      <c r="Z41" s="34"/>
      <c r="AA41" s="34"/>
      <c r="AB41" s="35"/>
      <c r="AC41" s="36"/>
      <c r="AD41" s="34"/>
      <c r="AE41" s="34"/>
      <c r="AG41" s="34"/>
      <c r="AH41" s="34"/>
      <c r="AI41" s="34"/>
      <c r="AJ41" s="35"/>
      <c r="AK41" s="36"/>
      <c r="AL41" s="34"/>
      <c r="AM41" s="34"/>
    </row>
    <row r="42" spans="1:39" ht="26.1" customHeight="1" thickBot="1" x14ac:dyDescent="0.4">
      <c r="A42" s="38"/>
      <c r="B42" s="38"/>
      <c r="C42" s="38"/>
      <c r="D42" s="39"/>
      <c r="E42" s="40"/>
      <c r="F42" s="38"/>
      <c r="G42" s="38"/>
      <c r="I42" s="38"/>
      <c r="J42" s="38"/>
      <c r="K42" s="38"/>
      <c r="L42" s="39"/>
      <c r="M42" s="40"/>
      <c r="N42" s="38"/>
      <c r="O42" s="38"/>
      <c r="Q42" s="38"/>
      <c r="R42" s="38"/>
      <c r="S42" s="38"/>
      <c r="T42" s="39"/>
      <c r="U42" s="40"/>
      <c r="V42" s="38"/>
      <c r="W42" s="38"/>
      <c r="Y42" s="38"/>
      <c r="Z42" s="38"/>
      <c r="AA42" s="38"/>
      <c r="AB42" s="39"/>
      <c r="AC42" s="40"/>
      <c r="AD42" s="38"/>
      <c r="AE42" s="38"/>
      <c r="AG42" s="38"/>
      <c r="AH42" s="38"/>
      <c r="AI42" s="38"/>
      <c r="AJ42" s="39"/>
      <c r="AK42" s="40"/>
      <c r="AL42" s="38"/>
      <c r="AM42" s="38"/>
    </row>
    <row r="43" spans="1:39" ht="15.6" x14ac:dyDescent="0.3">
      <c r="A43" s="41"/>
      <c r="B43" s="41"/>
      <c r="C43" s="41"/>
      <c r="I43" s="41"/>
      <c r="J43" s="41"/>
      <c r="K43" s="41"/>
      <c r="Q43" s="41"/>
      <c r="R43" s="41"/>
      <c r="S43" s="41"/>
      <c r="Y43" s="41"/>
      <c r="Z43" s="41"/>
      <c r="AA43" s="41"/>
      <c r="AG43" s="41"/>
      <c r="AH43" s="41"/>
      <c r="AI43" s="41"/>
    </row>
    <row r="44" spans="1:39" ht="15.6" x14ac:dyDescent="0.3">
      <c r="A44" s="41"/>
      <c r="B44" s="41"/>
      <c r="I44" s="41"/>
      <c r="J44" s="41"/>
      <c r="Q44" s="41"/>
      <c r="R44" s="41"/>
      <c r="Y44" s="41"/>
      <c r="Z44" s="41"/>
      <c r="AG44" s="41"/>
      <c r="AH44" s="41"/>
    </row>
    <row r="45" spans="1:39" ht="15.6" x14ac:dyDescent="0.3">
      <c r="A45" s="41"/>
      <c r="B45" s="41"/>
      <c r="I45" s="41"/>
      <c r="J45" s="41"/>
      <c r="M45" s="21" t="s">
        <v>8</v>
      </c>
      <c r="Q45" s="41"/>
      <c r="R45" s="41"/>
      <c r="Y45" s="41"/>
      <c r="Z45" s="41"/>
      <c r="AG45" s="41"/>
      <c r="AH45" s="41"/>
    </row>
    <row r="47" spans="1:39" x14ac:dyDescent="0.3">
      <c r="M47" t="s">
        <v>17</v>
      </c>
    </row>
    <row r="48" spans="1:39" x14ac:dyDescent="0.3">
      <c r="M48" t="s">
        <v>18</v>
      </c>
    </row>
    <row r="49" spans="13:13" x14ac:dyDescent="0.3">
      <c r="M49" t="s">
        <v>19</v>
      </c>
    </row>
  </sheetData>
  <mergeCells count="30">
    <mergeCell ref="AG4:AM4"/>
    <mergeCell ref="AG5:AM5"/>
    <mergeCell ref="AG11:AG12"/>
    <mergeCell ref="AH11:AH12"/>
    <mergeCell ref="AJ11:AK11"/>
    <mergeCell ref="AM11:AM12"/>
    <mergeCell ref="Y4:AE4"/>
    <mergeCell ref="Y5:AE5"/>
    <mergeCell ref="Y11:Y12"/>
    <mergeCell ref="Z11:Z12"/>
    <mergeCell ref="AB11:AC11"/>
    <mergeCell ref="AE11:AE12"/>
    <mergeCell ref="Q4:W4"/>
    <mergeCell ref="Q5:W5"/>
    <mergeCell ref="Q11:Q12"/>
    <mergeCell ref="R11:R12"/>
    <mergeCell ref="T11:U11"/>
    <mergeCell ref="W11:W12"/>
    <mergeCell ref="I4:O4"/>
    <mergeCell ref="I5:O5"/>
    <mergeCell ref="I11:I12"/>
    <mergeCell ref="J11:J12"/>
    <mergeCell ref="L11:M11"/>
    <mergeCell ref="O11:O12"/>
    <mergeCell ref="A4:G4"/>
    <mergeCell ref="A5:G5"/>
    <mergeCell ref="A11:A12"/>
    <mergeCell ref="B11:B12"/>
    <mergeCell ref="D11:E11"/>
    <mergeCell ref="G11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21CA-08F3-4FE5-8F1B-598776D85E23}">
  <sheetPr>
    <tabColor rgb="FF00B050"/>
  </sheetPr>
  <dimension ref="A1:AE45"/>
  <sheetViews>
    <sheetView workbookViewId="0">
      <selection activeCell="I1" sqref="I1:O42"/>
    </sheetView>
  </sheetViews>
  <sheetFormatPr defaultRowHeight="14.4" x14ac:dyDescent="0.3"/>
  <cols>
    <col min="1" max="1" width="12.33203125" customWidth="1"/>
    <col min="2" max="2" width="33.33203125" customWidth="1"/>
    <col min="3" max="3" width="11.88671875" style="2" customWidth="1"/>
    <col min="4" max="4" width="7.109375" style="2" customWidth="1"/>
    <col min="5" max="5" width="22.6640625" customWidth="1"/>
    <col min="6" max="6" width="13.109375" style="2" customWidth="1"/>
    <col min="7" max="7" width="29.44140625" style="2" customWidth="1"/>
    <col min="8" max="8" width="2.33203125" customWidth="1"/>
    <col min="9" max="9" width="12.33203125" customWidth="1"/>
    <col min="10" max="10" width="30.33203125" customWidth="1"/>
    <col min="11" max="11" width="12.109375" style="2" customWidth="1"/>
    <col min="12" max="12" width="7.109375" style="2" customWidth="1"/>
    <col min="13" max="13" width="23" customWidth="1"/>
    <col min="14" max="14" width="12.6640625" style="2" customWidth="1"/>
    <col min="15" max="15" width="24.6640625" style="2" customWidth="1"/>
    <col min="16" max="16" width="2.6640625" customWidth="1"/>
    <col min="17" max="17" width="12.33203125" customWidth="1"/>
    <col min="18" max="18" width="32.21875" customWidth="1"/>
    <col min="19" max="19" width="11.44140625" style="2" customWidth="1"/>
    <col min="20" max="20" width="7.109375" style="2" customWidth="1"/>
    <col min="21" max="21" width="25.6640625" customWidth="1"/>
    <col min="22" max="22" width="13" style="2" customWidth="1"/>
    <col min="23" max="23" width="29.44140625" style="2" customWidth="1"/>
    <col min="24" max="24" width="3.109375" customWidth="1"/>
    <col min="25" max="25" width="12.33203125" customWidth="1"/>
    <col min="26" max="26" width="32.21875" customWidth="1"/>
    <col min="27" max="27" width="12.88671875" style="2" customWidth="1"/>
    <col min="28" max="28" width="7.109375" style="2" customWidth="1"/>
    <col min="29" max="29" width="25.6640625" customWidth="1"/>
    <col min="30" max="30" width="16.6640625" style="2" customWidth="1"/>
    <col min="31" max="31" width="29.44140625" style="2" customWidth="1"/>
  </cols>
  <sheetData>
    <row r="1" spans="1:31" ht="42" x14ac:dyDescent="0.3">
      <c r="G1" s="62" t="s">
        <v>0</v>
      </c>
      <c r="O1" s="62" t="s">
        <v>0</v>
      </c>
      <c r="W1" s="62" t="s">
        <v>0</v>
      </c>
      <c r="AE1" s="62" t="s">
        <v>0</v>
      </c>
    </row>
    <row r="2" spans="1:31" ht="21" x14ac:dyDescent="0.3">
      <c r="G2" s="62"/>
      <c r="O2" s="62"/>
      <c r="W2" s="62"/>
      <c r="AE2" s="62"/>
    </row>
    <row r="4" spans="1:31" ht="17.399999999999999" x14ac:dyDescent="0.3">
      <c r="A4" s="102" t="s">
        <v>1</v>
      </c>
      <c r="B4" s="102"/>
      <c r="C4" s="102"/>
      <c r="D4" s="102"/>
      <c r="E4" s="102"/>
      <c r="F4" s="102"/>
      <c r="G4" s="102"/>
      <c r="I4" s="102" t="s">
        <v>1</v>
      </c>
      <c r="J4" s="102"/>
      <c r="K4" s="102"/>
      <c r="L4" s="102"/>
      <c r="M4" s="102"/>
      <c r="N4" s="102"/>
      <c r="O4" s="102"/>
      <c r="Q4" s="102" t="s">
        <v>1</v>
      </c>
      <c r="R4" s="102"/>
      <c r="S4" s="102"/>
      <c r="T4" s="102"/>
      <c r="U4" s="102"/>
      <c r="V4" s="102"/>
      <c r="W4" s="102"/>
      <c r="Y4" s="102" t="s">
        <v>1</v>
      </c>
      <c r="Z4" s="102"/>
      <c r="AA4" s="102"/>
      <c r="AB4" s="102"/>
      <c r="AC4" s="102"/>
      <c r="AD4" s="102"/>
      <c r="AE4" s="102"/>
    </row>
    <row r="5" spans="1:31" x14ac:dyDescent="0.3">
      <c r="C5"/>
      <c r="D5"/>
      <c r="F5"/>
      <c r="K5"/>
      <c r="L5"/>
      <c r="N5"/>
      <c r="S5"/>
      <c r="T5"/>
      <c r="V5"/>
      <c r="AA5"/>
      <c r="AB5"/>
      <c r="AD5"/>
    </row>
    <row r="6" spans="1:31" ht="15.6" x14ac:dyDescent="0.3">
      <c r="A6" s="3" t="s">
        <v>20</v>
      </c>
      <c r="C6" s="4"/>
      <c r="D6" s="4"/>
      <c r="E6" s="4"/>
      <c r="F6" s="4" t="s">
        <v>2</v>
      </c>
      <c r="G6" s="4"/>
      <c r="I6" s="3" t="s">
        <v>20</v>
      </c>
      <c r="K6" s="4"/>
      <c r="L6" s="4"/>
      <c r="M6" s="4"/>
      <c r="N6" s="4" t="s">
        <v>2</v>
      </c>
      <c r="O6" s="4"/>
      <c r="Q6" s="3" t="s">
        <v>20</v>
      </c>
      <c r="S6" s="4"/>
      <c r="T6" s="4"/>
      <c r="U6" s="4"/>
      <c r="V6" s="4" t="s">
        <v>2</v>
      </c>
      <c r="W6" s="4"/>
      <c r="Y6" s="3" t="s">
        <v>20</v>
      </c>
      <c r="AA6" s="4"/>
      <c r="AB6" s="4"/>
      <c r="AC6" s="4"/>
      <c r="AD6" s="4" t="s">
        <v>2</v>
      </c>
      <c r="AE6" s="4"/>
    </row>
    <row r="7" spans="1:31" ht="15" thickBot="1" x14ac:dyDescent="0.35">
      <c r="A7" s="2"/>
      <c r="B7" s="2"/>
      <c r="E7" s="2"/>
      <c r="I7" s="2"/>
      <c r="J7" s="2"/>
      <c r="M7" s="2"/>
      <c r="Q7" s="2"/>
      <c r="R7" s="2"/>
      <c r="U7" s="2"/>
      <c r="Y7" s="2"/>
      <c r="Z7" s="2"/>
      <c r="AC7" s="2"/>
    </row>
    <row r="8" spans="1:31" ht="18" x14ac:dyDescent="0.35">
      <c r="A8" s="5" t="s">
        <v>3</v>
      </c>
      <c r="B8" s="6" t="s">
        <v>31</v>
      </c>
      <c r="C8" s="52"/>
      <c r="D8" s="80"/>
      <c r="E8" s="8"/>
      <c r="F8" s="66" t="s">
        <v>4</v>
      </c>
      <c r="G8" s="63" t="s">
        <v>109</v>
      </c>
      <c r="I8" s="5" t="s">
        <v>3</v>
      </c>
      <c r="J8" s="6" t="s">
        <v>31</v>
      </c>
      <c r="K8" s="52"/>
      <c r="L8" s="80"/>
      <c r="M8" s="8"/>
      <c r="N8" s="66" t="s">
        <v>4</v>
      </c>
      <c r="O8" s="94" t="s">
        <v>115</v>
      </c>
      <c r="Q8" s="5" t="s">
        <v>3</v>
      </c>
      <c r="R8" s="6" t="s">
        <v>31</v>
      </c>
      <c r="S8" s="52"/>
      <c r="T8" s="80"/>
      <c r="U8" s="8"/>
      <c r="V8" s="66" t="s">
        <v>4</v>
      </c>
      <c r="W8" s="63" t="s">
        <v>116</v>
      </c>
      <c r="Y8" s="5" t="s">
        <v>3</v>
      </c>
      <c r="Z8" s="6" t="s">
        <v>31</v>
      </c>
      <c r="AA8" s="52"/>
      <c r="AB8" s="80"/>
      <c r="AC8" s="8"/>
      <c r="AD8" s="66" t="s">
        <v>4</v>
      </c>
      <c r="AE8" s="63" t="s">
        <v>123</v>
      </c>
    </row>
    <row r="9" spans="1:31" ht="18" x14ac:dyDescent="0.35">
      <c r="A9" s="10" t="s">
        <v>5</v>
      </c>
      <c r="B9" s="11" t="s">
        <v>108</v>
      </c>
      <c r="C9" s="53"/>
      <c r="D9" s="81"/>
      <c r="E9" s="13"/>
      <c r="F9" s="67" t="s">
        <v>6</v>
      </c>
      <c r="G9" s="64"/>
      <c r="I9" s="10" t="s">
        <v>5</v>
      </c>
      <c r="J9" s="11" t="s">
        <v>113</v>
      </c>
      <c r="K9" s="53"/>
      <c r="L9" s="81"/>
      <c r="M9" s="13"/>
      <c r="N9" s="67" t="s">
        <v>6</v>
      </c>
      <c r="O9" s="64"/>
      <c r="Q9" s="10" t="s">
        <v>5</v>
      </c>
      <c r="R9" s="11" t="s">
        <v>114</v>
      </c>
      <c r="S9" s="53"/>
      <c r="T9" s="81"/>
      <c r="U9" s="13"/>
      <c r="V9" s="67" t="s">
        <v>6</v>
      </c>
      <c r="W9" s="64"/>
      <c r="Y9" s="10" t="s">
        <v>5</v>
      </c>
      <c r="Z9" s="11" t="s">
        <v>117</v>
      </c>
      <c r="AA9" s="53"/>
      <c r="AB9" s="81"/>
      <c r="AC9" s="13"/>
      <c r="AD9" s="67" t="s">
        <v>6</v>
      </c>
      <c r="AE9" s="64"/>
    </row>
    <row r="10" spans="1:31" ht="16.2" thickBot="1" x14ac:dyDescent="0.35">
      <c r="A10" s="15" t="s">
        <v>7</v>
      </c>
      <c r="B10" s="110" t="s">
        <v>35</v>
      </c>
      <c r="C10" s="110"/>
      <c r="D10" s="110"/>
      <c r="E10" s="111"/>
      <c r="F10" s="68"/>
      <c r="G10" s="65"/>
      <c r="I10" s="112" t="s">
        <v>124</v>
      </c>
      <c r="J10" s="113"/>
      <c r="K10" s="113"/>
      <c r="L10" s="113"/>
      <c r="M10" s="114"/>
      <c r="N10" s="68"/>
      <c r="O10" s="65"/>
      <c r="Q10" s="112" t="s">
        <v>124</v>
      </c>
      <c r="R10" s="113"/>
      <c r="S10" s="113"/>
      <c r="T10" s="113"/>
      <c r="U10" s="114"/>
      <c r="V10" s="68"/>
      <c r="W10" s="65"/>
      <c r="Y10" s="112" t="s">
        <v>124</v>
      </c>
      <c r="Z10" s="113"/>
      <c r="AA10" s="113"/>
      <c r="AB10" s="113"/>
      <c r="AC10" s="114"/>
      <c r="AD10" s="68"/>
      <c r="AE10" s="65"/>
    </row>
    <row r="11" spans="1:31" ht="16.8" thickBot="1" x14ac:dyDescent="0.35">
      <c r="A11" s="57" t="s">
        <v>9</v>
      </c>
      <c r="B11" s="57" t="s">
        <v>10</v>
      </c>
      <c r="C11" s="22" t="s">
        <v>11</v>
      </c>
      <c r="D11" s="60" t="s">
        <v>12</v>
      </c>
      <c r="E11" s="61"/>
      <c r="F11" s="23" t="s">
        <v>13</v>
      </c>
      <c r="G11" s="24" t="s">
        <v>14</v>
      </c>
      <c r="I11" s="57" t="s">
        <v>9</v>
      </c>
      <c r="J11" s="57" t="s">
        <v>10</v>
      </c>
      <c r="K11" s="22" t="s">
        <v>11</v>
      </c>
      <c r="L11" s="60" t="s">
        <v>12</v>
      </c>
      <c r="M11" s="61"/>
      <c r="N11" s="23" t="s">
        <v>13</v>
      </c>
      <c r="O11" s="24" t="s">
        <v>14</v>
      </c>
      <c r="Q11" s="57" t="s">
        <v>9</v>
      </c>
      <c r="R11" s="57" t="s">
        <v>10</v>
      </c>
      <c r="S11" s="22" t="s">
        <v>11</v>
      </c>
      <c r="T11" s="60" t="s">
        <v>12</v>
      </c>
      <c r="U11" s="61"/>
      <c r="V11" s="23" t="s">
        <v>13</v>
      </c>
      <c r="W11" s="24" t="s">
        <v>14</v>
      </c>
      <c r="Y11" s="57" t="s">
        <v>9</v>
      </c>
      <c r="Z11" s="57" t="s">
        <v>10</v>
      </c>
      <c r="AA11" s="22" t="s">
        <v>11</v>
      </c>
      <c r="AB11" s="60" t="s">
        <v>12</v>
      </c>
      <c r="AC11" s="61"/>
      <c r="AD11" s="23" t="s">
        <v>13</v>
      </c>
      <c r="AE11" s="24" t="s">
        <v>14</v>
      </c>
    </row>
    <row r="12" spans="1:31" ht="16.2" thickBot="1" x14ac:dyDescent="0.35">
      <c r="A12" s="58"/>
      <c r="B12" s="59"/>
      <c r="C12" s="25" t="s">
        <v>15</v>
      </c>
      <c r="D12" s="47" t="s">
        <v>15</v>
      </c>
      <c r="E12" s="27" t="s">
        <v>36</v>
      </c>
      <c r="F12" s="48" t="s">
        <v>15</v>
      </c>
      <c r="G12" s="29"/>
      <c r="I12" s="58"/>
      <c r="J12" s="59"/>
      <c r="K12" s="25" t="s">
        <v>15</v>
      </c>
      <c r="L12" s="47" t="s">
        <v>15</v>
      </c>
      <c r="M12" s="27" t="s">
        <v>36</v>
      </c>
      <c r="N12" s="48" t="s">
        <v>15</v>
      </c>
      <c r="O12" s="29"/>
      <c r="Q12" s="58"/>
      <c r="R12" s="59"/>
      <c r="S12" s="25" t="s">
        <v>15</v>
      </c>
      <c r="T12" s="47" t="s">
        <v>15</v>
      </c>
      <c r="U12" s="27" t="s">
        <v>36</v>
      </c>
      <c r="V12" s="48" t="s">
        <v>15</v>
      </c>
      <c r="W12" s="29"/>
      <c r="Y12" s="58"/>
      <c r="Z12" s="59"/>
      <c r="AA12" s="25" t="s">
        <v>15</v>
      </c>
      <c r="AB12" s="47" t="s">
        <v>15</v>
      </c>
      <c r="AC12" s="27" t="s">
        <v>36</v>
      </c>
      <c r="AD12" s="48" t="s">
        <v>15</v>
      </c>
      <c r="AE12" s="29"/>
    </row>
    <row r="13" spans="1:31" x14ac:dyDescent="0.3">
      <c r="A13" s="97">
        <v>45901</v>
      </c>
      <c r="B13" s="93" t="s">
        <v>108</v>
      </c>
      <c r="C13" s="98">
        <f>44*47</f>
        <v>2068</v>
      </c>
      <c r="D13" s="99"/>
      <c r="E13" s="98"/>
      <c r="F13" s="99">
        <v>2068</v>
      </c>
      <c r="G13" s="99"/>
      <c r="I13" s="97">
        <v>45901</v>
      </c>
      <c r="J13" s="93" t="str">
        <f>J9</f>
        <v>CHIKITING TALAISIPAN GR. 3</v>
      </c>
      <c r="K13" s="98">
        <v>3000</v>
      </c>
      <c r="L13" s="99"/>
      <c r="M13" s="98"/>
      <c r="N13" s="99">
        <f>K13</f>
        <v>3000</v>
      </c>
      <c r="O13" s="99"/>
      <c r="Q13" s="97">
        <v>45901</v>
      </c>
      <c r="R13" s="101" t="str">
        <f>R9</f>
        <v>ENYONG, ANG BATANG BALIWAGHENYO</v>
      </c>
      <c r="S13" s="98">
        <v>2000</v>
      </c>
      <c r="T13" s="99"/>
      <c r="U13" s="98"/>
      <c r="V13" s="99">
        <f>S13</f>
        <v>2000</v>
      </c>
      <c r="W13" s="99"/>
      <c r="Y13" s="97">
        <v>45901</v>
      </c>
      <c r="Z13" s="93" t="str">
        <f>Z9</f>
        <v>JUNIOR TALAISIPAN, GR. 7</v>
      </c>
      <c r="AA13" s="98">
        <v>1001</v>
      </c>
      <c r="AB13" s="99"/>
      <c r="AC13" s="98"/>
      <c r="AD13" s="99">
        <f>AA13</f>
        <v>1001</v>
      </c>
      <c r="AE13" s="99"/>
    </row>
    <row r="14" spans="1:31" x14ac:dyDescent="0.3">
      <c r="A14" s="71"/>
      <c r="B14" s="71" t="s">
        <v>110</v>
      </c>
      <c r="C14" s="95">
        <f>F13</f>
        <v>2068</v>
      </c>
      <c r="D14" s="99">
        <f>4*44</f>
        <v>176</v>
      </c>
      <c r="E14" s="95" t="s">
        <v>54</v>
      </c>
      <c r="F14" s="95">
        <f>C14-D14</f>
        <v>1892</v>
      </c>
      <c r="G14" s="99" t="s">
        <v>73</v>
      </c>
      <c r="I14" s="71"/>
      <c r="J14" s="71" t="s">
        <v>112</v>
      </c>
      <c r="K14" s="95">
        <f>N13</f>
        <v>3000</v>
      </c>
      <c r="L14" s="99">
        <v>260</v>
      </c>
      <c r="M14" s="95" t="s">
        <v>54</v>
      </c>
      <c r="N14" s="95">
        <f>K14-L14</f>
        <v>2740</v>
      </c>
      <c r="O14" s="99" t="s">
        <v>73</v>
      </c>
      <c r="Q14" s="71"/>
      <c r="R14" s="71" t="s">
        <v>112</v>
      </c>
      <c r="S14" s="95">
        <f>V13</f>
        <v>2000</v>
      </c>
      <c r="T14" s="99">
        <v>159</v>
      </c>
      <c r="U14" s="95" t="s">
        <v>54</v>
      </c>
      <c r="V14" s="95">
        <f>S14-T14</f>
        <v>1841</v>
      </c>
      <c r="W14" s="99" t="s">
        <v>73</v>
      </c>
      <c r="Y14" s="71"/>
      <c r="Z14" s="71" t="s">
        <v>112</v>
      </c>
      <c r="AA14" s="95">
        <f>AD13</f>
        <v>1001</v>
      </c>
      <c r="AB14" s="99">
        <v>303</v>
      </c>
      <c r="AC14" s="95" t="s">
        <v>118</v>
      </c>
      <c r="AD14" s="95">
        <f>AA14-AB14</f>
        <v>698</v>
      </c>
      <c r="AE14" s="99" t="s">
        <v>73</v>
      </c>
    </row>
    <row r="15" spans="1:31" x14ac:dyDescent="0.3">
      <c r="A15" s="71"/>
      <c r="B15" s="71"/>
      <c r="C15" s="95">
        <f t="shared" ref="C15:C36" si="0">F14</f>
        <v>1892</v>
      </c>
      <c r="D15" s="99">
        <f>2*47</f>
        <v>94</v>
      </c>
      <c r="E15" s="95" t="s">
        <v>37</v>
      </c>
      <c r="F15" s="95">
        <f t="shared" ref="F15:F36" si="1">C15-D15</f>
        <v>1798</v>
      </c>
      <c r="G15" s="99" t="s">
        <v>73</v>
      </c>
      <c r="I15" s="71"/>
      <c r="J15" s="71"/>
      <c r="K15" s="95">
        <f t="shared" ref="K15:K37" si="2">N14</f>
        <v>2740</v>
      </c>
      <c r="L15" s="99">
        <v>57</v>
      </c>
      <c r="M15" s="95" t="s">
        <v>37</v>
      </c>
      <c r="N15" s="95">
        <f>N14-L15</f>
        <v>2683</v>
      </c>
      <c r="O15" s="99" t="s">
        <v>73</v>
      </c>
      <c r="Q15" s="71"/>
      <c r="R15" s="71"/>
      <c r="S15" s="95">
        <f t="shared" ref="S15:S37" si="3">V14</f>
        <v>1841</v>
      </c>
      <c r="T15" s="99">
        <v>43</v>
      </c>
      <c r="U15" s="95" t="s">
        <v>37</v>
      </c>
      <c r="V15" s="95">
        <f>V14-T15</f>
        <v>1798</v>
      </c>
      <c r="W15" s="99" t="s">
        <v>73</v>
      </c>
      <c r="Y15" s="71"/>
      <c r="Z15" s="71"/>
      <c r="AA15" s="95">
        <f t="shared" ref="AA15:AA19" si="4">AD14</f>
        <v>698</v>
      </c>
      <c r="AB15" s="99">
        <v>161</v>
      </c>
      <c r="AC15" s="95" t="s">
        <v>119</v>
      </c>
      <c r="AD15" s="95">
        <f>AD14-AB15</f>
        <v>537</v>
      </c>
      <c r="AE15" s="99" t="s">
        <v>73</v>
      </c>
    </row>
    <row r="16" spans="1:31" x14ac:dyDescent="0.3">
      <c r="A16" s="100"/>
      <c r="B16" s="71"/>
      <c r="C16" s="95">
        <f t="shared" si="0"/>
        <v>1798</v>
      </c>
      <c r="D16" s="99">
        <v>44</v>
      </c>
      <c r="E16" s="95" t="s">
        <v>38</v>
      </c>
      <c r="F16" s="95">
        <f t="shared" si="1"/>
        <v>1754</v>
      </c>
      <c r="G16" s="99" t="s">
        <v>73</v>
      </c>
      <c r="I16" s="100"/>
      <c r="J16" s="71"/>
      <c r="K16" s="95">
        <f t="shared" si="2"/>
        <v>2683</v>
      </c>
      <c r="L16" s="99">
        <v>146</v>
      </c>
      <c r="M16" s="95" t="s">
        <v>38</v>
      </c>
      <c r="N16" s="95">
        <f>N15-L16</f>
        <v>2537</v>
      </c>
      <c r="O16" s="99" t="s">
        <v>73</v>
      </c>
      <c r="Q16" s="100"/>
      <c r="R16" s="71"/>
      <c r="S16" s="95">
        <f t="shared" si="3"/>
        <v>1798</v>
      </c>
      <c r="T16" s="99">
        <v>112</v>
      </c>
      <c r="U16" s="95" t="s">
        <v>38</v>
      </c>
      <c r="V16" s="95">
        <f>V15-T16</f>
        <v>1686</v>
      </c>
      <c r="W16" s="99" t="s">
        <v>73</v>
      </c>
      <c r="Y16" s="100"/>
      <c r="Z16" s="71"/>
      <c r="AA16" s="95">
        <f t="shared" si="4"/>
        <v>537</v>
      </c>
      <c r="AB16" s="99">
        <v>166</v>
      </c>
      <c r="AC16" s="95" t="s">
        <v>120</v>
      </c>
      <c r="AD16" s="95">
        <f>AD15-AB16</f>
        <v>371</v>
      </c>
      <c r="AE16" s="99" t="s">
        <v>73</v>
      </c>
    </row>
    <row r="17" spans="1:31" x14ac:dyDescent="0.3">
      <c r="A17" s="71"/>
      <c r="B17" s="71"/>
      <c r="C17" s="95">
        <f t="shared" si="0"/>
        <v>1754</v>
      </c>
      <c r="D17" s="99">
        <v>38</v>
      </c>
      <c r="E17" s="96" t="s">
        <v>39</v>
      </c>
      <c r="F17" s="95">
        <f t="shared" si="1"/>
        <v>1716</v>
      </c>
      <c r="G17" s="99" t="s">
        <v>73</v>
      </c>
      <c r="I17" s="71"/>
      <c r="J17" s="71"/>
      <c r="K17" s="95">
        <f t="shared" si="2"/>
        <v>2537</v>
      </c>
      <c r="L17" s="99">
        <v>75</v>
      </c>
      <c r="M17" s="95" t="s">
        <v>39</v>
      </c>
      <c r="N17" s="95">
        <f>N16-L17</f>
        <v>2462</v>
      </c>
      <c r="O17" s="99" t="s">
        <v>73</v>
      </c>
      <c r="Q17" s="71"/>
      <c r="R17" s="71"/>
      <c r="S17" s="95">
        <f t="shared" si="3"/>
        <v>1686</v>
      </c>
      <c r="T17" s="99">
        <v>44</v>
      </c>
      <c r="U17" s="95" t="s">
        <v>39</v>
      </c>
      <c r="V17" s="95">
        <f>V16-T17</f>
        <v>1642</v>
      </c>
      <c r="W17" s="99" t="s">
        <v>73</v>
      </c>
      <c r="Y17" s="71"/>
      <c r="Z17" s="71"/>
      <c r="AA17" s="95">
        <f t="shared" si="4"/>
        <v>371</v>
      </c>
      <c r="AB17" s="99">
        <v>78</v>
      </c>
      <c r="AC17" s="95" t="s">
        <v>121</v>
      </c>
      <c r="AD17" s="95">
        <f>AD16-AB17</f>
        <v>293</v>
      </c>
      <c r="AE17" s="99" t="s">
        <v>73</v>
      </c>
    </row>
    <row r="18" spans="1:31" x14ac:dyDescent="0.3">
      <c r="A18" s="71"/>
      <c r="B18" s="71"/>
      <c r="C18" s="95">
        <f t="shared" si="0"/>
        <v>1716</v>
      </c>
      <c r="D18" s="99">
        <f>3*44</f>
        <v>132</v>
      </c>
      <c r="E18" s="95" t="s">
        <v>40</v>
      </c>
      <c r="F18" s="95">
        <f t="shared" si="1"/>
        <v>1584</v>
      </c>
      <c r="G18" s="99" t="s">
        <v>73</v>
      </c>
      <c r="I18" s="71"/>
      <c r="J18" s="71"/>
      <c r="K18" s="95">
        <f t="shared" si="2"/>
        <v>2462</v>
      </c>
      <c r="L18" s="99">
        <v>167</v>
      </c>
      <c r="M18" s="95" t="s">
        <v>40</v>
      </c>
      <c r="N18" s="95">
        <f>N17-L18</f>
        <v>2295</v>
      </c>
      <c r="O18" s="99" t="s">
        <v>73</v>
      </c>
      <c r="Q18" s="71"/>
      <c r="R18" s="71"/>
      <c r="S18" s="95">
        <f t="shared" si="3"/>
        <v>1642</v>
      </c>
      <c r="T18" s="99">
        <v>116</v>
      </c>
      <c r="U18" s="95" t="s">
        <v>40</v>
      </c>
      <c r="V18" s="95">
        <f>V17-T18</f>
        <v>1526</v>
      </c>
      <c r="W18" s="99" t="s">
        <v>73</v>
      </c>
      <c r="Y18" s="71"/>
      <c r="Z18" s="71"/>
      <c r="AA18" s="95">
        <f t="shared" si="4"/>
        <v>293</v>
      </c>
      <c r="AB18" s="99">
        <v>44</v>
      </c>
      <c r="AC18" s="95" t="s">
        <v>122</v>
      </c>
      <c r="AD18" s="95">
        <f>AD17-AB18</f>
        <v>249</v>
      </c>
      <c r="AE18" s="99" t="s">
        <v>73</v>
      </c>
    </row>
    <row r="19" spans="1:31" x14ac:dyDescent="0.3">
      <c r="A19" s="71"/>
      <c r="B19" s="71"/>
      <c r="C19" s="95">
        <f t="shared" si="0"/>
        <v>1584</v>
      </c>
      <c r="D19" s="99">
        <v>44</v>
      </c>
      <c r="E19" s="95" t="s">
        <v>55</v>
      </c>
      <c r="F19" s="95">
        <f t="shared" si="1"/>
        <v>1540</v>
      </c>
      <c r="G19" s="99" t="s">
        <v>73</v>
      </c>
      <c r="I19" s="71"/>
      <c r="J19" s="71"/>
      <c r="K19" s="95">
        <f t="shared" si="2"/>
        <v>2295</v>
      </c>
      <c r="L19" s="99">
        <v>34</v>
      </c>
      <c r="M19" s="95" t="s">
        <v>55</v>
      </c>
      <c r="N19" s="95">
        <f>N18-L19</f>
        <v>2261</v>
      </c>
      <c r="O19" s="99" t="s">
        <v>73</v>
      </c>
      <c r="Q19" s="71"/>
      <c r="R19" s="71"/>
      <c r="S19" s="95">
        <f t="shared" si="3"/>
        <v>1526</v>
      </c>
      <c r="T19" s="99">
        <v>27</v>
      </c>
      <c r="U19" s="95" t="s">
        <v>55</v>
      </c>
      <c r="V19" s="95">
        <f>V18-T19</f>
        <v>1499</v>
      </c>
      <c r="W19" s="99" t="s">
        <v>73</v>
      </c>
      <c r="Y19" s="71"/>
      <c r="Z19" s="71"/>
      <c r="AA19" s="95">
        <f t="shared" si="4"/>
        <v>249</v>
      </c>
      <c r="AB19" s="99">
        <v>249</v>
      </c>
      <c r="AC19" s="95" t="s">
        <v>97</v>
      </c>
      <c r="AD19" s="95">
        <f>AD18-AB19</f>
        <v>0</v>
      </c>
      <c r="AE19" s="99" t="s">
        <v>73</v>
      </c>
    </row>
    <row r="20" spans="1:31" x14ac:dyDescent="0.3">
      <c r="A20" s="71"/>
      <c r="B20" s="71"/>
      <c r="C20" s="95">
        <f t="shared" si="0"/>
        <v>1540</v>
      </c>
      <c r="D20" s="99">
        <f>4*44</f>
        <v>176</v>
      </c>
      <c r="E20" s="95" t="s">
        <v>56</v>
      </c>
      <c r="F20" s="95">
        <f t="shared" si="1"/>
        <v>1364</v>
      </c>
      <c r="G20" s="99" t="s">
        <v>73</v>
      </c>
      <c r="I20" s="71"/>
      <c r="J20" s="71"/>
      <c r="K20" s="95">
        <f t="shared" si="2"/>
        <v>2261</v>
      </c>
      <c r="L20" s="99">
        <v>228</v>
      </c>
      <c r="M20" s="95" t="s">
        <v>56</v>
      </c>
      <c r="N20" s="95">
        <f t="shared" ref="N20:N37" si="5">N19-L20</f>
        <v>2033</v>
      </c>
      <c r="O20" s="99" t="s">
        <v>73</v>
      </c>
      <c r="Q20" s="71"/>
      <c r="R20" s="71"/>
      <c r="S20" s="95">
        <f t="shared" si="3"/>
        <v>1499</v>
      </c>
      <c r="T20" s="99">
        <v>148</v>
      </c>
      <c r="U20" s="95" t="s">
        <v>56</v>
      </c>
      <c r="V20" s="95">
        <f t="shared" ref="V20:V37" si="6">V19-T20</f>
        <v>1351</v>
      </c>
      <c r="W20" s="99" t="s">
        <v>73</v>
      </c>
      <c r="Y20" s="71"/>
      <c r="Z20" s="71"/>
      <c r="AA20" s="95"/>
      <c r="AB20" s="99"/>
      <c r="AC20" s="95"/>
      <c r="AD20" s="95"/>
      <c r="AE20" s="99"/>
    </row>
    <row r="21" spans="1:31" x14ac:dyDescent="0.3">
      <c r="A21" s="71"/>
      <c r="B21" s="71"/>
      <c r="C21" s="95">
        <f t="shared" si="0"/>
        <v>1364</v>
      </c>
      <c r="D21" s="99">
        <v>44</v>
      </c>
      <c r="E21" s="95" t="s">
        <v>57</v>
      </c>
      <c r="F21" s="95">
        <f t="shared" si="1"/>
        <v>1320</v>
      </c>
      <c r="G21" s="99" t="s">
        <v>73</v>
      </c>
      <c r="I21" s="71"/>
      <c r="J21" s="71"/>
      <c r="K21" s="95">
        <f t="shared" si="2"/>
        <v>2033</v>
      </c>
      <c r="L21" s="99">
        <v>101</v>
      </c>
      <c r="M21" s="95" t="s">
        <v>57</v>
      </c>
      <c r="N21" s="95">
        <f t="shared" si="5"/>
        <v>1932</v>
      </c>
      <c r="O21" s="99" t="s">
        <v>73</v>
      </c>
      <c r="Q21" s="71"/>
      <c r="R21" s="71"/>
      <c r="S21" s="95">
        <f t="shared" si="3"/>
        <v>1351</v>
      </c>
      <c r="T21" s="99">
        <v>62</v>
      </c>
      <c r="U21" s="95" t="s">
        <v>57</v>
      </c>
      <c r="V21" s="95">
        <f t="shared" si="6"/>
        <v>1289</v>
      </c>
      <c r="W21" s="99" t="s">
        <v>73</v>
      </c>
      <c r="Y21" s="71"/>
      <c r="Z21" s="71"/>
      <c r="AA21" s="95"/>
      <c r="AB21" s="99"/>
      <c r="AC21" s="95"/>
      <c r="AD21" s="95"/>
      <c r="AE21" s="99"/>
    </row>
    <row r="22" spans="1:31" x14ac:dyDescent="0.3">
      <c r="A22" s="71"/>
      <c r="B22" s="71"/>
      <c r="C22" s="95">
        <f t="shared" si="0"/>
        <v>1320</v>
      </c>
      <c r="D22" s="99">
        <v>44</v>
      </c>
      <c r="E22" s="95" t="s">
        <v>45</v>
      </c>
      <c r="F22" s="95">
        <f t="shared" si="1"/>
        <v>1276</v>
      </c>
      <c r="G22" s="99" t="s">
        <v>73</v>
      </c>
      <c r="I22" s="71"/>
      <c r="J22" s="71"/>
      <c r="K22" s="95">
        <f t="shared" si="2"/>
        <v>1932</v>
      </c>
      <c r="L22" s="95">
        <v>22</v>
      </c>
      <c r="M22" s="95" t="s">
        <v>45</v>
      </c>
      <c r="N22" s="95">
        <f t="shared" si="5"/>
        <v>1910</v>
      </c>
      <c r="O22" s="99" t="s">
        <v>73</v>
      </c>
      <c r="Q22" s="71"/>
      <c r="R22" s="71"/>
      <c r="S22" s="95">
        <f t="shared" si="3"/>
        <v>1289</v>
      </c>
      <c r="T22" s="95">
        <v>21</v>
      </c>
      <c r="U22" s="95" t="s">
        <v>45</v>
      </c>
      <c r="V22" s="95">
        <f t="shared" si="6"/>
        <v>1268</v>
      </c>
      <c r="W22" s="99" t="s">
        <v>73</v>
      </c>
      <c r="Y22" s="71"/>
      <c r="Z22" s="71"/>
      <c r="AA22" s="95"/>
      <c r="AB22" s="95"/>
      <c r="AC22" s="95"/>
      <c r="AD22" s="95"/>
      <c r="AE22" s="99"/>
    </row>
    <row r="23" spans="1:31" x14ac:dyDescent="0.3">
      <c r="A23" s="71"/>
      <c r="B23" s="71"/>
      <c r="C23" s="95">
        <f t="shared" si="0"/>
        <v>1276</v>
      </c>
      <c r="D23" s="95">
        <f>3*44</f>
        <v>132</v>
      </c>
      <c r="E23" s="95" t="s">
        <v>46</v>
      </c>
      <c r="F23" s="95">
        <f t="shared" si="1"/>
        <v>1144</v>
      </c>
      <c r="G23" s="99" t="s">
        <v>73</v>
      </c>
      <c r="I23" s="71"/>
      <c r="J23" s="71"/>
      <c r="K23" s="95">
        <f t="shared" si="2"/>
        <v>1910</v>
      </c>
      <c r="L23" s="95">
        <v>215</v>
      </c>
      <c r="M23" s="95" t="s">
        <v>46</v>
      </c>
      <c r="N23" s="95">
        <f t="shared" si="5"/>
        <v>1695</v>
      </c>
      <c r="O23" s="99" t="s">
        <v>73</v>
      </c>
      <c r="Q23" s="71"/>
      <c r="R23" s="71"/>
      <c r="S23" s="95">
        <f t="shared" si="3"/>
        <v>1268</v>
      </c>
      <c r="T23" s="95">
        <v>145</v>
      </c>
      <c r="U23" s="95" t="s">
        <v>46</v>
      </c>
      <c r="V23" s="95">
        <f t="shared" si="6"/>
        <v>1123</v>
      </c>
      <c r="W23" s="99" t="s">
        <v>73</v>
      </c>
      <c r="Y23" s="71"/>
      <c r="Z23" s="71"/>
      <c r="AA23" s="95"/>
      <c r="AB23" s="95"/>
      <c r="AC23" s="95"/>
      <c r="AD23" s="95"/>
      <c r="AE23" s="99"/>
    </row>
    <row r="24" spans="1:31" x14ac:dyDescent="0.3">
      <c r="A24" s="71"/>
      <c r="B24" s="71"/>
      <c r="C24" s="95">
        <f t="shared" si="0"/>
        <v>1144</v>
      </c>
      <c r="D24" s="95">
        <v>44</v>
      </c>
      <c r="E24" s="95" t="s">
        <v>58</v>
      </c>
      <c r="F24" s="95">
        <f>C24-D24</f>
        <v>1100</v>
      </c>
      <c r="G24" s="99" t="s">
        <v>73</v>
      </c>
      <c r="I24" s="71"/>
      <c r="J24" s="71"/>
      <c r="K24" s="95">
        <f t="shared" si="2"/>
        <v>1695</v>
      </c>
      <c r="L24" s="95">
        <v>50</v>
      </c>
      <c r="M24" s="95" t="s">
        <v>58</v>
      </c>
      <c r="N24" s="95">
        <f t="shared" si="5"/>
        <v>1645</v>
      </c>
      <c r="O24" s="99" t="s">
        <v>73</v>
      </c>
      <c r="Q24" s="71"/>
      <c r="R24" s="71"/>
      <c r="S24" s="95">
        <f t="shared" si="3"/>
        <v>1123</v>
      </c>
      <c r="T24" s="95">
        <v>32</v>
      </c>
      <c r="U24" s="95" t="s">
        <v>58</v>
      </c>
      <c r="V24" s="95">
        <f t="shared" si="6"/>
        <v>1091</v>
      </c>
      <c r="W24" s="99" t="s">
        <v>73</v>
      </c>
      <c r="Y24" s="71"/>
      <c r="Z24" s="71"/>
      <c r="AA24" s="95"/>
      <c r="AB24" s="95"/>
      <c r="AC24" s="95"/>
      <c r="AD24" s="95"/>
      <c r="AE24" s="99"/>
    </row>
    <row r="25" spans="1:31" x14ac:dyDescent="0.3">
      <c r="A25" s="71"/>
      <c r="B25" s="71"/>
      <c r="C25" s="95">
        <f t="shared" si="0"/>
        <v>1100</v>
      </c>
      <c r="D25" s="95">
        <v>132</v>
      </c>
      <c r="E25" s="95" t="s">
        <v>47</v>
      </c>
      <c r="F25" s="95">
        <f t="shared" si="1"/>
        <v>968</v>
      </c>
      <c r="G25" s="99" t="s">
        <v>73</v>
      </c>
      <c r="I25" s="71"/>
      <c r="J25" s="71"/>
      <c r="K25" s="95">
        <f t="shared" si="2"/>
        <v>1645</v>
      </c>
      <c r="L25" s="95">
        <v>192</v>
      </c>
      <c r="M25" s="95" t="s">
        <v>47</v>
      </c>
      <c r="N25" s="95">
        <f t="shared" si="5"/>
        <v>1453</v>
      </c>
      <c r="O25" s="99" t="s">
        <v>73</v>
      </c>
      <c r="Q25" s="71"/>
      <c r="R25" s="71"/>
      <c r="S25" s="95">
        <f t="shared" si="3"/>
        <v>1091</v>
      </c>
      <c r="T25" s="95">
        <v>136</v>
      </c>
      <c r="U25" s="95" t="s">
        <v>47</v>
      </c>
      <c r="V25" s="95">
        <f t="shared" si="6"/>
        <v>955</v>
      </c>
      <c r="W25" s="99" t="s">
        <v>73</v>
      </c>
      <c r="Y25" s="71"/>
      <c r="Z25" s="71"/>
      <c r="AA25" s="95"/>
      <c r="AB25" s="95"/>
      <c r="AC25" s="95"/>
      <c r="AD25" s="95"/>
      <c r="AE25" s="99"/>
    </row>
    <row r="26" spans="1:31" x14ac:dyDescent="0.3">
      <c r="A26" s="71"/>
      <c r="B26" s="71"/>
      <c r="C26" s="95">
        <f t="shared" si="0"/>
        <v>968</v>
      </c>
      <c r="D26" s="95">
        <f>2*44</f>
        <v>88</v>
      </c>
      <c r="E26" s="95" t="s">
        <v>59</v>
      </c>
      <c r="F26" s="95">
        <f t="shared" si="1"/>
        <v>880</v>
      </c>
      <c r="G26" s="99" t="s">
        <v>73</v>
      </c>
      <c r="I26" s="71"/>
      <c r="J26" s="71"/>
      <c r="K26" s="95">
        <f t="shared" si="2"/>
        <v>1453</v>
      </c>
      <c r="L26" s="95">
        <v>140</v>
      </c>
      <c r="M26" s="95" t="s">
        <v>59</v>
      </c>
      <c r="N26" s="95">
        <f t="shared" si="5"/>
        <v>1313</v>
      </c>
      <c r="O26" s="99" t="s">
        <v>73</v>
      </c>
      <c r="Q26" s="71"/>
      <c r="R26" s="71"/>
      <c r="S26" s="95">
        <f t="shared" si="3"/>
        <v>955</v>
      </c>
      <c r="T26" s="95">
        <v>112</v>
      </c>
      <c r="U26" s="95" t="s">
        <v>59</v>
      </c>
      <c r="V26" s="95">
        <f t="shared" si="6"/>
        <v>843</v>
      </c>
      <c r="W26" s="99" t="s">
        <v>73</v>
      </c>
      <c r="Y26" s="71"/>
      <c r="Z26" s="71"/>
      <c r="AA26" s="95"/>
      <c r="AB26" s="95"/>
      <c r="AC26" s="95"/>
      <c r="AD26" s="95"/>
      <c r="AE26" s="99"/>
    </row>
    <row r="27" spans="1:31" x14ac:dyDescent="0.3">
      <c r="A27" s="71"/>
      <c r="B27" s="71"/>
      <c r="C27" s="95">
        <f t="shared" si="0"/>
        <v>880</v>
      </c>
      <c r="D27" s="95">
        <v>44</v>
      </c>
      <c r="E27" s="95" t="s">
        <v>60</v>
      </c>
      <c r="F27" s="95">
        <f t="shared" si="1"/>
        <v>836</v>
      </c>
      <c r="G27" s="99" t="s">
        <v>73</v>
      </c>
      <c r="I27" s="71"/>
      <c r="J27" s="71"/>
      <c r="K27" s="95">
        <f t="shared" si="2"/>
        <v>1313</v>
      </c>
      <c r="L27" s="95">
        <v>86</v>
      </c>
      <c r="M27" s="95" t="s">
        <v>60</v>
      </c>
      <c r="N27" s="95">
        <f t="shared" si="5"/>
        <v>1227</v>
      </c>
      <c r="O27" s="99" t="s">
        <v>73</v>
      </c>
      <c r="Q27" s="71"/>
      <c r="R27" s="71"/>
      <c r="S27" s="95">
        <f t="shared" si="3"/>
        <v>843</v>
      </c>
      <c r="T27" s="95">
        <v>55</v>
      </c>
      <c r="U27" s="95" t="s">
        <v>60</v>
      </c>
      <c r="V27" s="95">
        <f t="shared" si="6"/>
        <v>788</v>
      </c>
      <c r="W27" s="99" t="s">
        <v>73</v>
      </c>
      <c r="Y27" s="71"/>
      <c r="Z27" s="71"/>
      <c r="AA27" s="95"/>
      <c r="AB27" s="95"/>
      <c r="AC27" s="95"/>
      <c r="AD27" s="95"/>
      <c r="AE27" s="99"/>
    </row>
    <row r="28" spans="1:31" x14ac:dyDescent="0.3">
      <c r="A28" s="71"/>
      <c r="B28" s="71"/>
      <c r="C28" s="95">
        <f t="shared" si="0"/>
        <v>836</v>
      </c>
      <c r="D28" s="95">
        <f>3*44</f>
        <v>132</v>
      </c>
      <c r="E28" s="95" t="s">
        <v>61</v>
      </c>
      <c r="F28" s="95">
        <f t="shared" si="1"/>
        <v>704</v>
      </c>
      <c r="G28" s="99" t="s">
        <v>73</v>
      </c>
      <c r="I28" s="71"/>
      <c r="J28" s="71"/>
      <c r="K28" s="95">
        <f t="shared" si="2"/>
        <v>1227</v>
      </c>
      <c r="L28" s="95">
        <v>210</v>
      </c>
      <c r="M28" s="95" t="s">
        <v>61</v>
      </c>
      <c r="N28" s="95">
        <f t="shared" si="5"/>
        <v>1017</v>
      </c>
      <c r="O28" s="99" t="s">
        <v>73</v>
      </c>
      <c r="Q28" s="71"/>
      <c r="R28" s="71"/>
      <c r="S28" s="95">
        <f t="shared" si="3"/>
        <v>788</v>
      </c>
      <c r="T28" s="95">
        <v>117</v>
      </c>
      <c r="U28" s="95" t="s">
        <v>61</v>
      </c>
      <c r="V28" s="95">
        <f t="shared" si="6"/>
        <v>671</v>
      </c>
      <c r="W28" s="99" t="s">
        <v>73</v>
      </c>
      <c r="Y28" s="71"/>
      <c r="Z28" s="71"/>
      <c r="AA28" s="95"/>
      <c r="AB28" s="95"/>
      <c r="AC28" s="95"/>
      <c r="AD28" s="95"/>
      <c r="AE28" s="99"/>
    </row>
    <row r="29" spans="1:31" x14ac:dyDescent="0.3">
      <c r="A29" s="71"/>
      <c r="B29" s="71"/>
      <c r="C29" s="95">
        <f t="shared" si="0"/>
        <v>704</v>
      </c>
      <c r="D29" s="95">
        <v>44</v>
      </c>
      <c r="E29" s="95" t="s">
        <v>63</v>
      </c>
      <c r="F29" s="95">
        <f t="shared" si="1"/>
        <v>660</v>
      </c>
      <c r="G29" s="99" t="s">
        <v>73</v>
      </c>
      <c r="I29" s="71"/>
      <c r="J29" s="71"/>
      <c r="K29" s="95">
        <f t="shared" si="2"/>
        <v>1017</v>
      </c>
      <c r="L29" s="95">
        <v>199</v>
      </c>
      <c r="M29" s="95" t="s">
        <v>63</v>
      </c>
      <c r="N29" s="95">
        <f t="shared" si="5"/>
        <v>818</v>
      </c>
      <c r="O29" s="99" t="s">
        <v>73</v>
      </c>
      <c r="Q29" s="71"/>
      <c r="R29" s="71"/>
      <c r="S29" s="95">
        <f t="shared" si="3"/>
        <v>671</v>
      </c>
      <c r="T29" s="95">
        <v>142</v>
      </c>
      <c r="U29" s="95" t="s">
        <v>63</v>
      </c>
      <c r="V29" s="95">
        <f t="shared" si="6"/>
        <v>529</v>
      </c>
      <c r="W29" s="99" t="s">
        <v>73</v>
      </c>
      <c r="Y29" s="71"/>
      <c r="Z29" s="71"/>
      <c r="AA29" s="95"/>
      <c r="AB29" s="95"/>
      <c r="AC29" s="95"/>
      <c r="AD29" s="95"/>
      <c r="AE29" s="99"/>
    </row>
    <row r="30" spans="1:31" x14ac:dyDescent="0.3">
      <c r="A30" s="71"/>
      <c r="B30" s="71"/>
      <c r="C30" s="95">
        <f t="shared" si="0"/>
        <v>660</v>
      </c>
      <c r="D30" s="95">
        <f>3*44</f>
        <v>132</v>
      </c>
      <c r="E30" s="95" t="s">
        <v>62</v>
      </c>
      <c r="F30" s="95">
        <f t="shared" si="1"/>
        <v>528</v>
      </c>
      <c r="G30" s="99" t="s">
        <v>73</v>
      </c>
      <c r="I30" s="71"/>
      <c r="J30" s="71"/>
      <c r="K30" s="95">
        <f t="shared" si="2"/>
        <v>818</v>
      </c>
      <c r="L30" s="95">
        <v>40</v>
      </c>
      <c r="M30" s="95" t="s">
        <v>62</v>
      </c>
      <c r="N30" s="95">
        <f t="shared" si="5"/>
        <v>778</v>
      </c>
      <c r="O30" s="99" t="s">
        <v>73</v>
      </c>
      <c r="Q30" s="71"/>
      <c r="R30" s="71"/>
      <c r="S30" s="95">
        <f t="shared" si="3"/>
        <v>529</v>
      </c>
      <c r="T30" s="95">
        <v>44</v>
      </c>
      <c r="U30" s="95" t="s">
        <v>62</v>
      </c>
      <c r="V30" s="95">
        <f t="shared" si="6"/>
        <v>485</v>
      </c>
      <c r="W30" s="99" t="s">
        <v>73</v>
      </c>
      <c r="Y30" s="71"/>
      <c r="Z30" s="71"/>
      <c r="AA30" s="95"/>
      <c r="AB30" s="95"/>
      <c r="AC30" s="95"/>
      <c r="AD30" s="95"/>
      <c r="AE30" s="99"/>
    </row>
    <row r="31" spans="1:31" x14ac:dyDescent="0.3">
      <c r="A31" s="71"/>
      <c r="B31" s="71"/>
      <c r="C31" s="95">
        <f t="shared" si="0"/>
        <v>528</v>
      </c>
      <c r="D31" s="95">
        <v>88</v>
      </c>
      <c r="E31" s="95" t="s">
        <v>64</v>
      </c>
      <c r="F31" s="95">
        <f t="shared" si="1"/>
        <v>440</v>
      </c>
      <c r="G31" s="99" t="s">
        <v>73</v>
      </c>
      <c r="I31" s="71"/>
      <c r="J31" s="71"/>
      <c r="K31" s="95">
        <f t="shared" si="2"/>
        <v>778</v>
      </c>
      <c r="L31" s="95">
        <v>119</v>
      </c>
      <c r="M31" s="95" t="s">
        <v>64</v>
      </c>
      <c r="N31" s="95">
        <f t="shared" si="5"/>
        <v>659</v>
      </c>
      <c r="O31" s="99" t="s">
        <v>73</v>
      </c>
      <c r="Q31" s="71"/>
      <c r="R31" s="71"/>
      <c r="S31" s="95">
        <f t="shared" si="3"/>
        <v>485</v>
      </c>
      <c r="T31" s="95">
        <v>84</v>
      </c>
      <c r="U31" s="95" t="s">
        <v>64</v>
      </c>
      <c r="V31" s="95">
        <f t="shared" si="6"/>
        <v>401</v>
      </c>
      <c r="W31" s="99" t="s">
        <v>73</v>
      </c>
      <c r="Y31" s="71"/>
      <c r="Z31" s="71"/>
      <c r="AA31" s="95"/>
      <c r="AB31" s="95"/>
      <c r="AC31" s="95"/>
      <c r="AD31" s="95"/>
      <c r="AE31" s="99"/>
    </row>
    <row r="32" spans="1:31" x14ac:dyDescent="0.3">
      <c r="A32" s="71"/>
      <c r="B32" s="71"/>
      <c r="C32" s="95">
        <f t="shared" si="0"/>
        <v>440</v>
      </c>
      <c r="D32" s="95">
        <v>44</v>
      </c>
      <c r="E32" s="95" t="s">
        <v>65</v>
      </c>
      <c r="F32" s="95">
        <f>C32-D32</f>
        <v>396</v>
      </c>
      <c r="G32" s="99" t="s">
        <v>73</v>
      </c>
      <c r="I32" s="71"/>
      <c r="J32" s="71"/>
      <c r="K32" s="95">
        <f t="shared" si="2"/>
        <v>659</v>
      </c>
      <c r="L32" s="95">
        <v>83</v>
      </c>
      <c r="M32" s="95" t="s">
        <v>65</v>
      </c>
      <c r="N32" s="95">
        <f t="shared" si="5"/>
        <v>576</v>
      </c>
      <c r="O32" s="99" t="s">
        <v>73</v>
      </c>
      <c r="Q32" s="71"/>
      <c r="R32" s="71"/>
      <c r="S32" s="95">
        <f t="shared" si="3"/>
        <v>401</v>
      </c>
      <c r="T32" s="95">
        <v>47</v>
      </c>
      <c r="U32" s="95" t="s">
        <v>65</v>
      </c>
      <c r="V32" s="95">
        <f t="shared" si="6"/>
        <v>354</v>
      </c>
      <c r="W32" s="99" t="s">
        <v>73</v>
      </c>
      <c r="Y32" s="71"/>
      <c r="Z32" s="71"/>
      <c r="AA32" s="95"/>
      <c r="AB32" s="95"/>
      <c r="AC32" s="95"/>
      <c r="AD32" s="95"/>
      <c r="AE32" s="99"/>
    </row>
    <row r="33" spans="1:31" x14ac:dyDescent="0.3">
      <c r="A33" s="71"/>
      <c r="B33" s="71"/>
      <c r="C33" s="95">
        <f t="shared" si="0"/>
        <v>396</v>
      </c>
      <c r="D33" s="95">
        <f>4*44</f>
        <v>176</v>
      </c>
      <c r="E33" s="95" t="s">
        <v>66</v>
      </c>
      <c r="F33" s="95">
        <f t="shared" si="1"/>
        <v>220</v>
      </c>
      <c r="G33" s="99" t="s">
        <v>73</v>
      </c>
      <c r="I33" s="71"/>
      <c r="J33" s="71"/>
      <c r="K33" s="95">
        <f t="shared" si="2"/>
        <v>576</v>
      </c>
      <c r="L33" s="95">
        <v>253</v>
      </c>
      <c r="M33" s="95" t="s">
        <v>66</v>
      </c>
      <c r="N33" s="95">
        <f t="shared" si="5"/>
        <v>323</v>
      </c>
      <c r="O33" s="99" t="s">
        <v>73</v>
      </c>
      <c r="Q33" s="71"/>
      <c r="R33" s="71"/>
      <c r="S33" s="95">
        <f t="shared" si="3"/>
        <v>354</v>
      </c>
      <c r="T33" s="95">
        <v>155</v>
      </c>
      <c r="U33" s="95" t="s">
        <v>66</v>
      </c>
      <c r="V33" s="95">
        <f t="shared" si="6"/>
        <v>199</v>
      </c>
      <c r="W33" s="99" t="s">
        <v>73</v>
      </c>
      <c r="Y33" s="71"/>
      <c r="Z33" s="71"/>
      <c r="AA33" s="95"/>
      <c r="AB33" s="95"/>
      <c r="AC33" s="95"/>
      <c r="AD33" s="95"/>
      <c r="AE33" s="99"/>
    </row>
    <row r="34" spans="1:31" x14ac:dyDescent="0.3">
      <c r="A34" s="71"/>
      <c r="B34" s="71"/>
      <c r="C34" s="95">
        <f t="shared" si="0"/>
        <v>220</v>
      </c>
      <c r="D34" s="95">
        <f>44*3</f>
        <v>132</v>
      </c>
      <c r="E34" s="95" t="s">
        <v>111</v>
      </c>
      <c r="F34" s="95">
        <f t="shared" si="1"/>
        <v>88</v>
      </c>
      <c r="G34" s="99" t="s">
        <v>73</v>
      </c>
      <c r="I34" s="71"/>
      <c r="J34" s="71"/>
      <c r="K34" s="95">
        <f t="shared" si="2"/>
        <v>323</v>
      </c>
      <c r="L34" s="95">
        <v>177</v>
      </c>
      <c r="M34" s="95" t="s">
        <v>111</v>
      </c>
      <c r="N34" s="95">
        <f t="shared" si="5"/>
        <v>146</v>
      </c>
      <c r="O34" s="99" t="s">
        <v>73</v>
      </c>
      <c r="Q34" s="71"/>
      <c r="R34" s="71"/>
      <c r="S34" s="95">
        <f t="shared" si="3"/>
        <v>199</v>
      </c>
      <c r="T34" s="95">
        <v>117</v>
      </c>
      <c r="U34" s="95" t="s">
        <v>111</v>
      </c>
      <c r="V34" s="95">
        <f t="shared" si="6"/>
        <v>82</v>
      </c>
      <c r="W34" s="99" t="s">
        <v>73</v>
      </c>
      <c r="Y34" s="71"/>
      <c r="Z34" s="71"/>
      <c r="AA34" s="95"/>
      <c r="AB34" s="95"/>
      <c r="AC34" s="95"/>
      <c r="AD34" s="95"/>
      <c r="AE34" s="99"/>
    </row>
    <row r="35" spans="1:31" x14ac:dyDescent="0.3">
      <c r="A35" s="71"/>
      <c r="B35" s="71"/>
      <c r="C35" s="95">
        <f t="shared" si="0"/>
        <v>88</v>
      </c>
      <c r="D35" s="95">
        <v>44</v>
      </c>
      <c r="E35" s="95" t="s">
        <v>50</v>
      </c>
      <c r="F35" s="95">
        <f t="shared" si="1"/>
        <v>44</v>
      </c>
      <c r="G35" s="99" t="s">
        <v>73</v>
      </c>
      <c r="I35" s="71"/>
      <c r="J35" s="71"/>
      <c r="K35" s="95">
        <f t="shared" si="2"/>
        <v>146</v>
      </c>
      <c r="L35" s="95">
        <v>55</v>
      </c>
      <c r="M35" s="95" t="s">
        <v>50</v>
      </c>
      <c r="N35" s="95">
        <f t="shared" si="5"/>
        <v>91</v>
      </c>
      <c r="O35" s="99" t="s">
        <v>73</v>
      </c>
      <c r="Q35" s="71"/>
      <c r="R35" s="71"/>
      <c r="S35" s="95">
        <f t="shared" si="3"/>
        <v>82</v>
      </c>
      <c r="T35" s="95">
        <v>41</v>
      </c>
      <c r="U35" s="95" t="s">
        <v>50</v>
      </c>
      <c r="V35" s="95">
        <f t="shared" si="6"/>
        <v>41</v>
      </c>
      <c r="W35" s="99" t="s">
        <v>73</v>
      </c>
      <c r="Y35" s="71"/>
      <c r="Z35" s="71"/>
      <c r="AA35" s="95"/>
      <c r="AB35" s="95"/>
      <c r="AC35" s="95"/>
      <c r="AD35" s="95"/>
      <c r="AE35" s="99"/>
    </row>
    <row r="36" spans="1:31" x14ac:dyDescent="0.3">
      <c r="A36" s="71"/>
      <c r="B36" s="71"/>
      <c r="C36" s="95">
        <f t="shared" si="0"/>
        <v>44</v>
      </c>
      <c r="D36" s="95">
        <v>44</v>
      </c>
      <c r="E36" s="95" t="s">
        <v>68</v>
      </c>
      <c r="F36" s="95">
        <f t="shared" si="1"/>
        <v>0</v>
      </c>
      <c r="G36" s="99" t="s">
        <v>73</v>
      </c>
      <c r="I36" s="71"/>
      <c r="J36" s="71"/>
      <c r="K36" s="95">
        <f t="shared" si="2"/>
        <v>91</v>
      </c>
      <c r="L36" s="95">
        <v>90</v>
      </c>
      <c r="M36" s="95" t="s">
        <v>68</v>
      </c>
      <c r="N36" s="95">
        <f t="shared" si="5"/>
        <v>1</v>
      </c>
      <c r="O36" s="99" t="s">
        <v>73</v>
      </c>
      <c r="Q36" s="71"/>
      <c r="R36" s="71"/>
      <c r="S36" s="95">
        <f t="shared" si="3"/>
        <v>41</v>
      </c>
      <c r="T36" s="95">
        <v>40</v>
      </c>
      <c r="U36" s="95" t="s">
        <v>68</v>
      </c>
      <c r="V36" s="95">
        <f t="shared" si="6"/>
        <v>1</v>
      </c>
      <c r="W36" s="99" t="s">
        <v>73</v>
      </c>
      <c r="Y36" s="71"/>
      <c r="Z36" s="71"/>
      <c r="AA36" s="95"/>
      <c r="AB36" s="95"/>
      <c r="AC36" s="95"/>
      <c r="AD36" s="95"/>
      <c r="AE36" s="99"/>
    </row>
    <row r="37" spans="1:31" x14ac:dyDescent="0.3">
      <c r="A37" s="71"/>
      <c r="B37" s="71"/>
      <c r="C37" s="95"/>
      <c r="D37" s="95"/>
      <c r="E37" s="95"/>
      <c r="F37" s="95"/>
      <c r="G37" s="95"/>
      <c r="I37" s="71"/>
      <c r="J37" s="71"/>
      <c r="K37" s="95">
        <f t="shared" si="2"/>
        <v>1</v>
      </c>
      <c r="L37" s="95">
        <v>1</v>
      </c>
      <c r="M37" s="95" t="s">
        <v>88</v>
      </c>
      <c r="N37" s="95">
        <f t="shared" si="5"/>
        <v>0</v>
      </c>
      <c r="O37" s="99" t="s">
        <v>73</v>
      </c>
      <c r="Q37" s="71"/>
      <c r="R37" s="71"/>
      <c r="S37" s="95">
        <f t="shared" si="3"/>
        <v>1</v>
      </c>
      <c r="T37" s="95">
        <v>1</v>
      </c>
      <c r="U37" s="95" t="s">
        <v>88</v>
      </c>
      <c r="V37" s="95">
        <f t="shared" si="6"/>
        <v>0</v>
      </c>
      <c r="W37" s="99" t="s">
        <v>73</v>
      </c>
      <c r="Y37" s="71"/>
      <c r="Z37" s="71"/>
      <c r="AA37" s="95"/>
      <c r="AB37" s="95"/>
      <c r="AC37" s="95"/>
      <c r="AD37" s="95"/>
      <c r="AE37" s="99"/>
    </row>
    <row r="38" spans="1:31" x14ac:dyDescent="0.3">
      <c r="A38" s="71"/>
      <c r="B38" s="71"/>
      <c r="C38" s="95"/>
      <c r="D38" s="95"/>
      <c r="E38" s="71"/>
      <c r="F38" s="95"/>
      <c r="G38" s="95"/>
      <c r="I38" s="71"/>
      <c r="J38" s="71"/>
      <c r="K38" s="95"/>
      <c r="L38" s="95"/>
      <c r="M38" s="71"/>
      <c r="N38" s="95"/>
      <c r="O38" s="95"/>
      <c r="Q38" s="71"/>
      <c r="R38" s="71"/>
      <c r="S38" s="95"/>
      <c r="T38" s="95"/>
      <c r="U38" s="71"/>
      <c r="V38" s="95"/>
      <c r="W38" s="95"/>
      <c r="Y38" s="71"/>
      <c r="Z38" s="71"/>
      <c r="AA38" s="95"/>
      <c r="AB38" s="95"/>
      <c r="AC38" s="71"/>
      <c r="AD38" s="95"/>
      <c r="AE38" s="95"/>
    </row>
    <row r="39" spans="1:31" x14ac:dyDescent="0.3">
      <c r="A39" s="71"/>
      <c r="B39" s="71"/>
      <c r="C39" s="95"/>
      <c r="D39" s="95"/>
      <c r="E39" s="71"/>
      <c r="F39" s="95"/>
      <c r="G39" s="95"/>
      <c r="I39" s="71"/>
      <c r="J39" s="71"/>
      <c r="K39" s="95"/>
      <c r="L39" s="95"/>
      <c r="M39" s="71"/>
      <c r="N39" s="95"/>
      <c r="O39" s="95"/>
      <c r="Q39" s="71"/>
      <c r="R39" s="71"/>
      <c r="S39" s="95"/>
      <c r="T39" s="95"/>
      <c r="U39" s="71"/>
      <c r="V39" s="95"/>
      <c r="W39" s="95"/>
      <c r="Y39" s="71"/>
      <c r="Z39" s="71"/>
      <c r="AA39" s="95"/>
      <c r="AB39" s="95"/>
      <c r="AC39" s="71"/>
      <c r="AD39" s="95"/>
      <c r="AE39" s="95"/>
    </row>
    <row r="40" spans="1:31" x14ac:dyDescent="0.3">
      <c r="A40" s="71"/>
      <c r="B40" s="71"/>
      <c r="C40" s="95"/>
      <c r="D40" s="95"/>
      <c r="E40" s="71"/>
      <c r="F40" s="95"/>
      <c r="G40" s="95"/>
      <c r="I40" s="71"/>
      <c r="J40" s="71"/>
      <c r="K40" s="95"/>
      <c r="L40" s="95"/>
      <c r="M40" s="71"/>
      <c r="N40" s="95"/>
      <c r="O40" s="95"/>
      <c r="Q40" s="71"/>
      <c r="R40" s="71"/>
      <c r="S40" s="95"/>
      <c r="T40" s="95"/>
      <c r="U40" s="71"/>
      <c r="V40" s="95"/>
      <c r="W40" s="95"/>
      <c r="Y40" s="71"/>
      <c r="Z40" s="71"/>
      <c r="AA40" s="95"/>
      <c r="AB40" s="95"/>
      <c r="AC40" s="71"/>
      <c r="AD40" s="95"/>
      <c r="AE40" s="95"/>
    </row>
    <row r="41" spans="1:31" x14ac:dyDescent="0.3">
      <c r="A41" s="71"/>
      <c r="B41" s="71"/>
      <c r="C41" s="95"/>
      <c r="D41" s="95"/>
      <c r="E41" s="71"/>
      <c r="F41" s="95"/>
      <c r="G41" s="95"/>
      <c r="I41" s="71"/>
      <c r="J41" s="71"/>
      <c r="K41" s="95"/>
      <c r="L41" s="95"/>
      <c r="M41" s="71"/>
      <c r="N41" s="95"/>
      <c r="O41" s="95"/>
      <c r="Q41" s="71"/>
      <c r="R41" s="71"/>
      <c r="S41" s="95"/>
      <c r="T41" s="95"/>
      <c r="U41" s="71"/>
      <c r="V41" s="95"/>
      <c r="W41" s="95"/>
      <c r="Y41" s="71"/>
      <c r="Z41" s="71"/>
      <c r="AA41" s="95"/>
      <c r="AB41" s="95"/>
      <c r="AC41" s="71"/>
      <c r="AD41" s="95"/>
      <c r="AE41" s="95"/>
    </row>
    <row r="42" spans="1:31" x14ac:dyDescent="0.3">
      <c r="A42" s="71"/>
      <c r="B42" s="71"/>
      <c r="C42" s="95"/>
      <c r="D42" s="95"/>
      <c r="E42" s="71"/>
      <c r="F42" s="95"/>
      <c r="G42" s="95"/>
      <c r="I42" s="71"/>
      <c r="J42" s="71"/>
      <c r="K42" s="95"/>
      <c r="L42" s="95"/>
      <c r="M42" s="71"/>
      <c r="N42" s="95"/>
      <c r="O42" s="95"/>
      <c r="Q42" s="71"/>
      <c r="R42" s="71"/>
      <c r="S42" s="95"/>
      <c r="T42" s="95"/>
      <c r="U42" s="71"/>
      <c r="V42" s="95"/>
      <c r="W42" s="95"/>
      <c r="Y42" s="71"/>
      <c r="Z42" s="71"/>
      <c r="AA42" s="95"/>
      <c r="AB42" s="95"/>
      <c r="AC42" s="71"/>
      <c r="AD42" s="95"/>
      <c r="AE42" s="95"/>
    </row>
    <row r="43" spans="1:31" ht="15.6" x14ac:dyDescent="0.3">
      <c r="A43" s="41"/>
      <c r="B43" s="41"/>
      <c r="C43" s="56"/>
      <c r="I43" s="41"/>
      <c r="J43" s="41"/>
      <c r="K43" s="56"/>
      <c r="Q43" s="41"/>
      <c r="R43" s="41"/>
      <c r="S43" s="56"/>
      <c r="Y43" s="41"/>
      <c r="Z43" s="41"/>
      <c r="AA43" s="56"/>
    </row>
    <row r="44" spans="1:31" ht="15.6" x14ac:dyDescent="0.3">
      <c r="A44" s="41"/>
      <c r="B44" s="41"/>
      <c r="I44" s="41"/>
      <c r="J44" s="41"/>
      <c r="Q44" s="41"/>
      <c r="R44" s="41"/>
      <c r="Y44" s="41"/>
      <c r="Z44" s="41"/>
    </row>
    <row r="45" spans="1:31" ht="15.6" x14ac:dyDescent="0.3">
      <c r="A45" s="41"/>
      <c r="B45" s="41"/>
      <c r="I45" s="41"/>
      <c r="J45" s="41"/>
      <c r="Q45" s="41"/>
      <c r="R45" s="41"/>
      <c r="Y45" s="41"/>
      <c r="Z45" s="41"/>
    </row>
  </sheetData>
  <mergeCells count="8">
    <mergeCell ref="A4:G4"/>
    <mergeCell ref="I4:O4"/>
    <mergeCell ref="Q4:W4"/>
    <mergeCell ref="Y4:AE4"/>
    <mergeCell ref="B10:E10"/>
    <mergeCell ref="I10:M10"/>
    <mergeCell ref="Q10:U10"/>
    <mergeCell ref="Y10:AC10"/>
  </mergeCells>
  <pageMargins left="0.49" right="0.15748031496062992" top="1.2204724409448819" bottom="0.74803149606299213" header="0.31496062992125984" footer="0.31496062992125984"/>
  <pageSetup paperSize="9" scale="7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FD42-02BA-4868-8FF3-DAC6415270C7}">
  <sheetPr>
    <tabColor rgb="FF00B050"/>
  </sheetPr>
  <dimension ref="A1:O30"/>
  <sheetViews>
    <sheetView tabSelected="1" topLeftCell="F1" workbookViewId="0">
      <selection activeCell="O16" sqref="O16"/>
    </sheetView>
  </sheetViews>
  <sheetFormatPr defaultRowHeight="14.4" x14ac:dyDescent="0.3"/>
  <cols>
    <col min="1" max="1" width="14.6640625" customWidth="1"/>
    <col min="2" max="2" width="42.5546875" customWidth="1"/>
    <col min="3" max="3" width="8.21875" style="2" customWidth="1"/>
    <col min="4" max="4" width="7.109375" style="2" customWidth="1"/>
    <col min="5" max="5" width="32.6640625" customWidth="1"/>
    <col min="6" max="6" width="17.33203125" style="2" customWidth="1"/>
    <col min="7" max="7" width="26" style="2" customWidth="1"/>
    <col min="9" max="9" width="14.6640625" customWidth="1"/>
    <col min="10" max="10" width="42.5546875" customWidth="1"/>
    <col min="11" max="11" width="8.21875" style="2" customWidth="1"/>
    <col min="12" max="12" width="7.109375" style="2" customWidth="1"/>
    <col min="13" max="13" width="31.6640625" customWidth="1"/>
    <col min="14" max="14" width="12.77734375" style="74" customWidth="1"/>
    <col min="15" max="15" width="29.44140625" style="2" customWidth="1"/>
  </cols>
  <sheetData>
    <row r="1" spans="1:15" ht="42" x14ac:dyDescent="0.3">
      <c r="G1" s="62" t="s">
        <v>0</v>
      </c>
      <c r="O1" s="62" t="s">
        <v>0</v>
      </c>
    </row>
    <row r="2" spans="1:15" ht="21" x14ac:dyDescent="0.3">
      <c r="G2" s="62"/>
      <c r="O2" s="62"/>
    </row>
    <row r="4" spans="1:15" ht="17.399999999999999" x14ac:dyDescent="0.3">
      <c r="A4" s="102" t="s">
        <v>1</v>
      </c>
      <c r="B4" s="102"/>
      <c r="C4" s="102"/>
      <c r="D4" s="102"/>
      <c r="E4" s="102"/>
      <c r="F4" s="102"/>
      <c r="G4" s="102"/>
      <c r="I4" s="102" t="s">
        <v>1</v>
      </c>
      <c r="J4" s="102"/>
      <c r="K4" s="102"/>
      <c r="L4" s="102"/>
      <c r="M4" s="102"/>
      <c r="N4" s="102"/>
      <c r="O4" s="102"/>
    </row>
    <row r="5" spans="1:15" x14ac:dyDescent="0.3">
      <c r="C5"/>
      <c r="D5"/>
      <c r="F5"/>
      <c r="K5"/>
      <c r="L5"/>
    </row>
    <row r="6" spans="1:15" ht="15.6" x14ac:dyDescent="0.3">
      <c r="A6" s="3" t="s">
        <v>20</v>
      </c>
      <c r="C6" s="4"/>
      <c r="D6" s="4"/>
      <c r="E6" s="4"/>
      <c r="F6" s="4" t="s">
        <v>2</v>
      </c>
      <c r="G6" s="4"/>
      <c r="I6" s="3" t="s">
        <v>20</v>
      </c>
      <c r="K6" s="4"/>
      <c r="L6" s="4"/>
      <c r="M6" s="4"/>
      <c r="N6" s="73" t="s">
        <v>2</v>
      </c>
      <c r="O6" s="4"/>
    </row>
    <row r="7" spans="1:15" ht="15" thickBot="1" x14ac:dyDescent="0.35">
      <c r="A7" s="2"/>
      <c r="B7" s="2"/>
      <c r="E7" s="2"/>
      <c r="I7" s="2"/>
      <c r="J7" s="2"/>
      <c r="M7" s="2"/>
    </row>
    <row r="8" spans="1:15" ht="18" x14ac:dyDescent="0.35">
      <c r="A8" s="5" t="s">
        <v>3</v>
      </c>
      <c r="B8" s="6" t="s">
        <v>125</v>
      </c>
      <c r="C8" s="52"/>
      <c r="D8" s="80"/>
      <c r="E8" s="8"/>
      <c r="F8" s="66" t="s">
        <v>4</v>
      </c>
      <c r="G8" s="63" t="s">
        <v>127</v>
      </c>
      <c r="I8" s="5" t="s">
        <v>3</v>
      </c>
      <c r="J8" s="6" t="s">
        <v>125</v>
      </c>
      <c r="K8" s="52"/>
      <c r="L8" s="80"/>
      <c r="M8" s="8"/>
      <c r="N8" s="66" t="s">
        <v>4</v>
      </c>
      <c r="O8" s="63" t="s">
        <v>142</v>
      </c>
    </row>
    <row r="9" spans="1:15" ht="18" x14ac:dyDescent="0.35">
      <c r="A9" s="10" t="s">
        <v>5</v>
      </c>
      <c r="B9" s="11" t="s">
        <v>126</v>
      </c>
      <c r="C9" s="53"/>
      <c r="D9" s="81"/>
      <c r="E9" s="13"/>
      <c r="F9" s="67" t="s">
        <v>6</v>
      </c>
      <c r="G9" s="64"/>
      <c r="I9" s="10" t="s">
        <v>5</v>
      </c>
      <c r="J9" s="11" t="s">
        <v>126</v>
      </c>
      <c r="K9" s="53"/>
      <c r="L9" s="81"/>
      <c r="M9" s="13"/>
      <c r="N9" s="130" t="s">
        <v>6</v>
      </c>
      <c r="O9" s="64"/>
    </row>
    <row r="10" spans="1:15" ht="16.2" thickBot="1" x14ac:dyDescent="0.35">
      <c r="A10" s="15" t="s">
        <v>7</v>
      </c>
      <c r="B10" s="120" t="s">
        <v>87</v>
      </c>
      <c r="C10" s="54"/>
      <c r="D10" s="82"/>
      <c r="E10" s="18"/>
      <c r="F10" s="68"/>
      <c r="G10" s="65"/>
      <c r="I10" s="15" t="s">
        <v>7</v>
      </c>
      <c r="J10" s="120" t="s">
        <v>138</v>
      </c>
      <c r="K10" s="54"/>
      <c r="L10" s="82"/>
      <c r="M10" s="18"/>
      <c r="N10" s="131"/>
      <c r="O10" s="65"/>
    </row>
    <row r="11" spans="1:15" ht="16.8" thickBot="1" x14ac:dyDescent="0.35">
      <c r="A11" s="57" t="s">
        <v>9</v>
      </c>
      <c r="B11" s="57" t="s">
        <v>10</v>
      </c>
      <c r="C11" s="22" t="s">
        <v>11</v>
      </c>
      <c r="D11" s="60" t="s">
        <v>12</v>
      </c>
      <c r="E11" s="61"/>
      <c r="F11" s="23" t="s">
        <v>13</v>
      </c>
      <c r="G11" s="24" t="s">
        <v>14</v>
      </c>
      <c r="I11" s="57" t="s">
        <v>9</v>
      </c>
      <c r="J11" s="57" t="s">
        <v>10</v>
      </c>
      <c r="K11" s="22" t="s">
        <v>11</v>
      </c>
      <c r="L11" s="60" t="s">
        <v>12</v>
      </c>
      <c r="M11" s="61"/>
      <c r="N11" s="23" t="s">
        <v>13</v>
      </c>
      <c r="O11" s="24" t="s">
        <v>14</v>
      </c>
    </row>
    <row r="12" spans="1:15" ht="16.2" thickBot="1" x14ac:dyDescent="0.35">
      <c r="A12" s="58"/>
      <c r="B12" s="59"/>
      <c r="C12" s="25" t="s">
        <v>15</v>
      </c>
      <c r="D12" s="47" t="s">
        <v>15</v>
      </c>
      <c r="E12" s="27" t="s">
        <v>36</v>
      </c>
      <c r="F12" s="48" t="s">
        <v>15</v>
      </c>
      <c r="G12" s="29"/>
      <c r="I12" s="58"/>
      <c r="J12" s="59"/>
      <c r="K12" s="25" t="s">
        <v>15</v>
      </c>
      <c r="L12" s="47" t="s">
        <v>15</v>
      </c>
      <c r="M12" s="27" t="s">
        <v>36</v>
      </c>
      <c r="N12" s="48" t="s">
        <v>15</v>
      </c>
      <c r="O12" s="29"/>
    </row>
    <row r="13" spans="1:15" ht="32.4" thickBot="1" x14ac:dyDescent="0.4">
      <c r="A13" s="135" t="s">
        <v>135</v>
      </c>
      <c r="B13" s="116" t="s">
        <v>128</v>
      </c>
      <c r="C13" s="117">
        <v>50</v>
      </c>
      <c r="D13" s="117">
        <v>50</v>
      </c>
      <c r="E13" s="117"/>
      <c r="F13" s="117">
        <f>D13</f>
        <v>50</v>
      </c>
      <c r="G13" s="133"/>
      <c r="I13" s="126" t="s">
        <v>135</v>
      </c>
      <c r="J13" s="127" t="s">
        <v>139</v>
      </c>
      <c r="K13" s="122">
        <v>2</v>
      </c>
      <c r="L13" s="122">
        <v>2</v>
      </c>
      <c r="M13" s="123"/>
      <c r="N13" s="121">
        <f>L13</f>
        <v>2</v>
      </c>
      <c r="O13" s="128"/>
    </row>
    <row r="14" spans="1:15" ht="32.4" thickBot="1" x14ac:dyDescent="0.4">
      <c r="A14" s="136"/>
      <c r="B14" s="116" t="s">
        <v>129</v>
      </c>
      <c r="C14" s="118"/>
      <c r="D14" s="118"/>
      <c r="E14" s="118"/>
      <c r="F14" s="118"/>
      <c r="G14" s="134"/>
      <c r="I14" s="42"/>
      <c r="J14" s="129" t="s">
        <v>140</v>
      </c>
      <c r="K14" s="125">
        <v>2</v>
      </c>
      <c r="L14" s="125">
        <v>1</v>
      </c>
      <c r="M14" s="71" t="s">
        <v>136</v>
      </c>
      <c r="N14" s="79">
        <f>N13-L14</f>
        <v>1</v>
      </c>
      <c r="O14" s="50" t="s">
        <v>73</v>
      </c>
    </row>
    <row r="15" spans="1:15" ht="32.4" thickBot="1" x14ac:dyDescent="0.4">
      <c r="A15" s="136"/>
      <c r="B15" s="116" t="s">
        <v>130</v>
      </c>
      <c r="C15" s="118"/>
      <c r="D15" s="118"/>
      <c r="E15" s="118"/>
      <c r="F15" s="118"/>
      <c r="G15" s="134"/>
      <c r="I15" s="42"/>
      <c r="J15" s="124" t="s">
        <v>141</v>
      </c>
      <c r="K15" s="125">
        <v>1</v>
      </c>
      <c r="L15" s="125">
        <v>1</v>
      </c>
      <c r="M15" s="71" t="s">
        <v>137</v>
      </c>
      <c r="N15" s="79">
        <f>N14-L15</f>
        <v>0</v>
      </c>
      <c r="O15" s="50" t="s">
        <v>73</v>
      </c>
    </row>
    <row r="16" spans="1:15" ht="32.4" thickBot="1" x14ac:dyDescent="0.4">
      <c r="A16" s="136"/>
      <c r="B16" s="116" t="s">
        <v>131</v>
      </c>
      <c r="C16" s="118"/>
      <c r="D16" s="118"/>
      <c r="E16" s="118"/>
      <c r="F16" s="118"/>
      <c r="G16" s="134"/>
      <c r="I16" s="43"/>
      <c r="J16" s="124"/>
      <c r="K16" s="125"/>
      <c r="L16" s="125"/>
      <c r="M16" s="125"/>
      <c r="N16" s="79"/>
      <c r="O16" s="50"/>
    </row>
    <row r="17" spans="1:15" ht="32.4" thickBot="1" x14ac:dyDescent="0.4">
      <c r="A17" s="136"/>
      <c r="B17" s="116" t="s">
        <v>132</v>
      </c>
      <c r="C17" s="118"/>
      <c r="D17" s="118"/>
      <c r="E17" s="118"/>
      <c r="F17" s="118"/>
      <c r="G17" s="134"/>
      <c r="I17" s="42"/>
      <c r="J17" s="124"/>
      <c r="K17" s="125"/>
      <c r="L17" s="125"/>
      <c r="M17" s="125"/>
      <c r="N17" s="79"/>
      <c r="O17" s="50"/>
    </row>
    <row r="18" spans="1:15" ht="32.4" thickBot="1" x14ac:dyDescent="0.4">
      <c r="A18" s="136"/>
      <c r="B18" s="116" t="s">
        <v>133</v>
      </c>
      <c r="C18" s="118"/>
      <c r="D18" s="118"/>
      <c r="E18" s="118"/>
      <c r="F18" s="118"/>
      <c r="G18" s="134"/>
      <c r="I18" s="42"/>
      <c r="J18" s="124"/>
      <c r="K18" s="125"/>
      <c r="L18" s="125"/>
      <c r="M18" s="125"/>
      <c r="N18" s="79"/>
      <c r="O18" s="50"/>
    </row>
    <row r="19" spans="1:15" ht="18.600000000000001" thickBot="1" x14ac:dyDescent="0.4">
      <c r="A19" s="137"/>
      <c r="B19" s="116" t="s">
        <v>134</v>
      </c>
      <c r="C19" s="119"/>
      <c r="D19" s="119"/>
      <c r="E19" s="119"/>
      <c r="F19" s="119"/>
      <c r="G19" s="132"/>
      <c r="I19" s="42"/>
      <c r="J19" s="124"/>
      <c r="K19" s="125"/>
      <c r="L19" s="125"/>
      <c r="M19" s="125"/>
      <c r="N19" s="79"/>
      <c r="O19" s="50"/>
    </row>
    <row r="20" spans="1:15" ht="18" x14ac:dyDescent="0.35">
      <c r="A20" s="42"/>
      <c r="B20" s="42"/>
      <c r="C20" s="50">
        <v>50</v>
      </c>
      <c r="D20" s="49">
        <v>25</v>
      </c>
      <c r="E20" s="70" t="s">
        <v>136</v>
      </c>
      <c r="F20" s="50">
        <f t="shared" ref="F20:F21" si="0">C20-D20</f>
        <v>25</v>
      </c>
      <c r="G20" s="49" t="s">
        <v>73</v>
      </c>
      <c r="I20" s="42"/>
      <c r="J20" s="42"/>
      <c r="K20" s="50"/>
      <c r="L20" s="50"/>
      <c r="M20" s="42"/>
      <c r="N20" s="79"/>
      <c r="O20" s="50"/>
    </row>
    <row r="21" spans="1:15" ht="18" x14ac:dyDescent="0.35">
      <c r="A21" s="42"/>
      <c r="B21" s="42"/>
      <c r="C21" s="50">
        <v>25</v>
      </c>
      <c r="D21" s="49">
        <v>25</v>
      </c>
      <c r="E21" s="42" t="s">
        <v>137</v>
      </c>
      <c r="F21" s="50">
        <f t="shared" si="0"/>
        <v>0</v>
      </c>
      <c r="G21" s="49" t="s">
        <v>73</v>
      </c>
      <c r="I21" s="42"/>
      <c r="J21" s="42"/>
      <c r="K21" s="50"/>
      <c r="L21" s="50"/>
      <c r="M21" s="42"/>
      <c r="N21" s="79"/>
      <c r="O21" s="50"/>
    </row>
    <row r="22" spans="1:15" ht="18" x14ac:dyDescent="0.35">
      <c r="A22" s="42"/>
      <c r="B22" s="42"/>
      <c r="C22" s="50"/>
      <c r="D22" s="50"/>
      <c r="E22" s="42"/>
      <c r="F22" s="50"/>
      <c r="G22" s="49"/>
      <c r="I22" s="42"/>
      <c r="J22" s="42"/>
      <c r="K22" s="50"/>
      <c r="L22" s="50"/>
      <c r="M22" s="42"/>
      <c r="N22" s="79"/>
      <c r="O22" s="50"/>
    </row>
    <row r="23" spans="1:15" ht="18" x14ac:dyDescent="0.35">
      <c r="A23" s="42"/>
      <c r="B23" s="42"/>
      <c r="C23" s="50"/>
      <c r="D23" s="50"/>
      <c r="E23" s="42"/>
      <c r="F23" s="50"/>
      <c r="G23" s="49"/>
      <c r="I23" s="42"/>
      <c r="J23" s="42"/>
      <c r="K23" s="50"/>
      <c r="L23" s="50"/>
      <c r="M23" s="42"/>
      <c r="N23" s="79"/>
      <c r="O23" s="50"/>
    </row>
    <row r="24" spans="1:15" ht="18" x14ac:dyDescent="0.35">
      <c r="A24" s="42"/>
      <c r="B24" s="42"/>
      <c r="C24" s="50"/>
      <c r="D24" s="50"/>
      <c r="E24" s="42"/>
      <c r="F24" s="50"/>
      <c r="G24" s="50"/>
      <c r="I24" s="42"/>
      <c r="J24" s="42"/>
      <c r="K24" s="50"/>
      <c r="L24" s="50"/>
      <c r="M24" s="42"/>
      <c r="N24" s="79"/>
      <c r="O24" s="50"/>
    </row>
    <row r="25" spans="1:15" ht="18" x14ac:dyDescent="0.35">
      <c r="A25" s="42"/>
      <c r="B25" s="42"/>
      <c r="C25" s="50"/>
      <c r="D25" s="50"/>
      <c r="E25" s="42"/>
      <c r="F25" s="50"/>
      <c r="G25" s="50"/>
      <c r="I25" s="42"/>
      <c r="J25" s="42"/>
      <c r="K25" s="50"/>
      <c r="L25" s="50"/>
      <c r="M25" s="42"/>
      <c r="N25" s="79"/>
      <c r="O25" s="50"/>
    </row>
    <row r="26" spans="1:15" ht="18" x14ac:dyDescent="0.35">
      <c r="A26" s="42"/>
      <c r="B26" s="42"/>
      <c r="C26" s="50"/>
      <c r="D26" s="50"/>
      <c r="E26" s="42"/>
      <c r="F26" s="50"/>
      <c r="G26" s="50"/>
      <c r="I26" s="42"/>
      <c r="J26" s="42"/>
      <c r="K26" s="50"/>
      <c r="L26" s="50"/>
      <c r="M26" s="42"/>
      <c r="N26" s="79"/>
      <c r="O26" s="50"/>
    </row>
    <row r="27" spans="1:15" ht="18" x14ac:dyDescent="0.35">
      <c r="A27" s="42"/>
      <c r="B27" s="42"/>
      <c r="C27" s="50"/>
      <c r="D27" s="50"/>
      <c r="E27" s="42"/>
      <c r="F27" s="50"/>
      <c r="G27" s="50"/>
      <c r="I27" s="42"/>
      <c r="J27" s="42"/>
      <c r="K27" s="50"/>
      <c r="L27" s="50"/>
      <c r="M27" s="42"/>
      <c r="N27" s="79"/>
      <c r="O27" s="50"/>
    </row>
    <row r="28" spans="1:15" ht="15.6" x14ac:dyDescent="0.3">
      <c r="A28" s="41"/>
      <c r="B28" s="41"/>
      <c r="C28" s="56"/>
      <c r="I28" s="41"/>
      <c r="J28" s="41"/>
      <c r="K28" s="56"/>
    </row>
    <row r="29" spans="1:15" ht="15.6" x14ac:dyDescent="0.3">
      <c r="A29" s="41"/>
      <c r="B29" s="41"/>
      <c r="I29" s="41"/>
      <c r="J29" s="41"/>
    </row>
    <row r="30" spans="1:15" ht="15.6" x14ac:dyDescent="0.3">
      <c r="A30" s="41"/>
      <c r="B30" s="41"/>
      <c r="I30" s="41"/>
      <c r="J30" s="41"/>
    </row>
  </sheetData>
  <mergeCells count="8">
    <mergeCell ref="G13:G19"/>
    <mergeCell ref="A13:A19"/>
    <mergeCell ref="A4:G4"/>
    <mergeCell ref="C13:C19"/>
    <mergeCell ref="D13:D19"/>
    <mergeCell ref="E13:E19"/>
    <mergeCell ref="F13:F19"/>
    <mergeCell ref="I4:O4"/>
  </mergeCells>
  <pageMargins left="0.84" right="0.11811023622047245" top="0.74803149606299213" bottom="0.74803149606299213" header="0.31496062992125984" footer="0.31496062992125984"/>
  <pageSetup paperSize="9" scale="85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925D-5E47-4383-A340-11D2665BA8A0}">
  <sheetPr>
    <tabColor rgb="FF00B050"/>
  </sheetPr>
  <dimension ref="A1:G45"/>
  <sheetViews>
    <sheetView workbookViewId="0">
      <selection activeCell="E17" sqref="E17"/>
    </sheetView>
  </sheetViews>
  <sheetFormatPr defaultRowHeight="14.4" x14ac:dyDescent="0.3"/>
  <cols>
    <col min="1" max="1" width="12.33203125" customWidth="1"/>
    <col min="2" max="2" width="22.109375" style="2" customWidth="1"/>
    <col min="3" max="3" width="9.21875" customWidth="1"/>
    <col min="4" max="4" width="9.6640625" style="74" customWidth="1"/>
    <col min="5" max="5" width="25.6640625" customWidth="1"/>
    <col min="6" max="6" width="17.44140625" customWidth="1"/>
    <col min="7" max="7" width="29.44140625" customWidth="1"/>
  </cols>
  <sheetData>
    <row r="1" spans="1:7" ht="42" x14ac:dyDescent="0.3">
      <c r="G1" s="1" t="s">
        <v>0</v>
      </c>
    </row>
    <row r="2" spans="1:7" ht="21" x14ac:dyDescent="0.3">
      <c r="G2" s="1"/>
    </row>
    <row r="4" spans="1:7" ht="17.399999999999999" x14ac:dyDescent="0.3">
      <c r="A4" s="102" t="s">
        <v>1</v>
      </c>
      <c r="B4" s="102"/>
      <c r="C4" s="102"/>
      <c r="D4" s="102"/>
      <c r="E4" s="102"/>
      <c r="F4" s="102"/>
      <c r="G4" s="102"/>
    </row>
    <row r="5" spans="1:7" x14ac:dyDescent="0.3">
      <c r="A5" s="103"/>
      <c r="B5" s="103"/>
      <c r="C5" s="103"/>
      <c r="D5" s="103"/>
      <c r="E5" s="103"/>
      <c r="F5" s="103"/>
      <c r="G5" s="103"/>
    </row>
    <row r="6" spans="1:7" ht="15.6" x14ac:dyDescent="0.3">
      <c r="A6" s="3" t="s">
        <v>20</v>
      </c>
      <c r="C6" s="4"/>
      <c r="D6" s="73"/>
      <c r="E6" s="4"/>
      <c r="F6" s="3" t="s">
        <v>2</v>
      </c>
      <c r="G6" s="4"/>
    </row>
    <row r="7" spans="1:7" ht="15" thickBot="1" x14ac:dyDescent="0.35">
      <c r="A7" s="2"/>
      <c r="C7" s="2"/>
      <c r="E7" s="2"/>
      <c r="F7" s="2"/>
      <c r="G7" s="2"/>
    </row>
    <row r="8" spans="1:7" ht="18" x14ac:dyDescent="0.3">
      <c r="A8" s="5" t="s">
        <v>3</v>
      </c>
      <c r="B8" s="52" t="s">
        <v>31</v>
      </c>
      <c r="C8" s="6"/>
      <c r="D8" s="75"/>
      <c r="E8" s="8"/>
      <c r="F8" s="9" t="s">
        <v>4</v>
      </c>
      <c r="G8" s="8" t="s">
        <v>94</v>
      </c>
    </row>
    <row r="9" spans="1:7" ht="18" x14ac:dyDescent="0.3">
      <c r="A9" s="10" t="s">
        <v>5</v>
      </c>
      <c r="B9" s="53" t="s">
        <v>93</v>
      </c>
      <c r="C9" s="11"/>
      <c r="D9" s="76"/>
      <c r="E9" s="13"/>
      <c r="F9" s="14" t="s">
        <v>6</v>
      </c>
      <c r="G9" s="13"/>
    </row>
    <row r="10" spans="1:7" ht="16.2" thickBot="1" x14ac:dyDescent="0.35">
      <c r="A10" s="15" t="s">
        <v>7</v>
      </c>
      <c r="B10" s="54"/>
      <c r="C10" s="16" t="s">
        <v>35</v>
      </c>
      <c r="D10" s="77"/>
      <c r="E10" s="18"/>
      <c r="F10" s="19"/>
      <c r="G10" s="20"/>
    </row>
    <row r="11" spans="1:7" ht="16.8" thickBot="1" x14ac:dyDescent="0.35">
      <c r="A11" s="104" t="s">
        <v>9</v>
      </c>
      <c r="B11" s="104" t="s">
        <v>10</v>
      </c>
      <c r="C11" s="22" t="s">
        <v>11</v>
      </c>
      <c r="D11" s="106" t="s">
        <v>12</v>
      </c>
      <c r="E11" s="107"/>
      <c r="F11" s="23" t="s">
        <v>13</v>
      </c>
      <c r="G11" s="108" t="s">
        <v>14</v>
      </c>
    </row>
    <row r="12" spans="1:7" ht="16.2" thickBot="1" x14ac:dyDescent="0.35">
      <c r="A12" s="115"/>
      <c r="B12" s="105"/>
      <c r="C12" s="25" t="s">
        <v>15</v>
      </c>
      <c r="D12" s="47" t="s">
        <v>15</v>
      </c>
      <c r="E12" s="27" t="s">
        <v>36</v>
      </c>
      <c r="F12" s="48" t="s">
        <v>15</v>
      </c>
      <c r="G12" s="109"/>
    </row>
    <row r="13" spans="1:7" ht="18.600000000000001" thickBot="1" x14ac:dyDescent="0.4">
      <c r="A13" s="43">
        <v>45907</v>
      </c>
      <c r="B13" s="49" t="s">
        <v>52</v>
      </c>
      <c r="C13" s="46">
        <v>125</v>
      </c>
      <c r="D13" s="78"/>
      <c r="E13" s="46"/>
      <c r="F13" s="45">
        <f>C13-D13</f>
        <v>125</v>
      </c>
      <c r="G13" s="45"/>
    </row>
    <row r="14" spans="1:7" ht="18" x14ac:dyDescent="0.35">
      <c r="A14" s="43">
        <v>45907</v>
      </c>
      <c r="B14" s="50" t="s">
        <v>34</v>
      </c>
      <c r="C14" s="42">
        <f>F13</f>
        <v>125</v>
      </c>
      <c r="D14" s="79">
        <v>25</v>
      </c>
      <c r="E14" s="46" t="s">
        <v>54</v>
      </c>
      <c r="F14" s="42">
        <f t="shared" ref="F14:F28" si="0">C14-D14</f>
        <v>100</v>
      </c>
      <c r="G14" s="42"/>
    </row>
    <row r="15" spans="1:7" ht="18" x14ac:dyDescent="0.35">
      <c r="A15" s="42" t="s">
        <v>96</v>
      </c>
      <c r="B15" s="50"/>
      <c r="C15" s="42">
        <f t="shared" ref="C15:C18" si="1">F14</f>
        <v>100</v>
      </c>
      <c r="D15" s="79">
        <v>25</v>
      </c>
      <c r="E15" s="42" t="s">
        <v>49</v>
      </c>
      <c r="F15" s="42">
        <f>C15-D15</f>
        <v>75</v>
      </c>
      <c r="G15" s="42"/>
    </row>
    <row r="16" spans="1:7" ht="18" x14ac:dyDescent="0.35">
      <c r="A16" s="42" t="s">
        <v>95</v>
      </c>
      <c r="B16" s="50"/>
      <c r="C16" s="42">
        <f t="shared" si="1"/>
        <v>75</v>
      </c>
      <c r="D16" s="79">
        <v>25</v>
      </c>
      <c r="E16" s="42" t="s">
        <v>46</v>
      </c>
      <c r="F16" s="42">
        <f t="shared" si="0"/>
        <v>50</v>
      </c>
      <c r="G16" s="42"/>
    </row>
    <row r="17" spans="1:7" ht="18" x14ac:dyDescent="0.35">
      <c r="A17" s="42" t="s">
        <v>95</v>
      </c>
      <c r="B17" s="50"/>
      <c r="C17" s="42">
        <f t="shared" si="1"/>
        <v>50</v>
      </c>
      <c r="D17" s="79">
        <v>25</v>
      </c>
      <c r="E17" s="42" t="s">
        <v>47</v>
      </c>
      <c r="F17" s="42">
        <f t="shared" si="0"/>
        <v>25</v>
      </c>
      <c r="G17" s="42"/>
    </row>
    <row r="18" spans="1:7" ht="18" x14ac:dyDescent="0.35">
      <c r="A18" s="42" t="s">
        <v>95</v>
      </c>
      <c r="B18" s="50"/>
      <c r="C18" s="42">
        <f t="shared" si="1"/>
        <v>25</v>
      </c>
      <c r="D18" s="79">
        <v>25</v>
      </c>
      <c r="E18" s="42" t="s">
        <v>61</v>
      </c>
      <c r="F18" s="42">
        <f t="shared" si="0"/>
        <v>0</v>
      </c>
      <c r="G18" s="42"/>
    </row>
    <row r="19" spans="1:7" ht="18" x14ac:dyDescent="0.35">
      <c r="A19" s="42"/>
      <c r="B19" s="50"/>
      <c r="C19" s="42">
        <f t="shared" ref="C19:C27" si="2">F18</f>
        <v>0</v>
      </c>
      <c r="D19" s="79"/>
      <c r="E19" s="42"/>
      <c r="F19" s="42">
        <f t="shared" si="0"/>
        <v>0</v>
      </c>
      <c r="G19" s="42"/>
    </row>
    <row r="20" spans="1:7" ht="18" x14ac:dyDescent="0.35">
      <c r="A20" s="42"/>
      <c r="B20" s="50"/>
      <c r="C20" s="42">
        <f t="shared" si="2"/>
        <v>0</v>
      </c>
      <c r="D20" s="79"/>
      <c r="E20" s="42"/>
      <c r="F20" s="42">
        <f t="shared" si="0"/>
        <v>0</v>
      </c>
      <c r="G20" s="42"/>
    </row>
    <row r="21" spans="1:7" ht="18" x14ac:dyDescent="0.35">
      <c r="A21" s="42"/>
      <c r="B21" s="50"/>
      <c r="C21" s="42">
        <f t="shared" si="2"/>
        <v>0</v>
      </c>
      <c r="D21" s="79"/>
      <c r="E21" s="42"/>
      <c r="F21" s="42">
        <f t="shared" si="0"/>
        <v>0</v>
      </c>
      <c r="G21" s="42"/>
    </row>
    <row r="22" spans="1:7" ht="18" x14ac:dyDescent="0.35">
      <c r="A22" s="42"/>
      <c r="B22" s="50"/>
      <c r="C22" s="42">
        <f t="shared" si="2"/>
        <v>0</v>
      </c>
      <c r="D22" s="79"/>
      <c r="E22" s="42"/>
      <c r="F22" s="42">
        <f t="shared" si="0"/>
        <v>0</v>
      </c>
      <c r="G22" s="42"/>
    </row>
    <row r="23" spans="1:7" ht="18" x14ac:dyDescent="0.35">
      <c r="A23" s="42"/>
      <c r="B23" s="50"/>
      <c r="C23" s="42">
        <f t="shared" si="2"/>
        <v>0</v>
      </c>
      <c r="D23" s="79"/>
      <c r="E23" s="42"/>
      <c r="F23" s="42">
        <f t="shared" si="0"/>
        <v>0</v>
      </c>
      <c r="G23" s="42"/>
    </row>
    <row r="24" spans="1:7" ht="18" x14ac:dyDescent="0.35">
      <c r="A24" s="42"/>
      <c r="B24" s="50"/>
      <c r="C24" s="42">
        <f>F23</f>
        <v>0</v>
      </c>
      <c r="D24" s="79"/>
      <c r="E24" s="42"/>
      <c r="F24" s="42">
        <f t="shared" si="0"/>
        <v>0</v>
      </c>
      <c r="G24" s="42"/>
    </row>
    <row r="25" spans="1:7" ht="18" x14ac:dyDescent="0.35">
      <c r="A25" s="42"/>
      <c r="B25" s="50"/>
      <c r="C25" s="42">
        <f t="shared" si="2"/>
        <v>0</v>
      </c>
      <c r="D25" s="79"/>
      <c r="E25" s="42"/>
      <c r="F25" s="42">
        <f t="shared" si="0"/>
        <v>0</v>
      </c>
      <c r="G25" s="42"/>
    </row>
    <row r="26" spans="1:7" ht="18" x14ac:dyDescent="0.35">
      <c r="A26" s="42"/>
      <c r="B26" s="50"/>
      <c r="C26" s="42">
        <f t="shared" si="2"/>
        <v>0</v>
      </c>
      <c r="D26" s="79"/>
      <c r="E26" s="42"/>
      <c r="F26" s="42">
        <f t="shared" si="0"/>
        <v>0</v>
      </c>
      <c r="G26" s="42"/>
    </row>
    <row r="27" spans="1:7" ht="18" x14ac:dyDescent="0.35">
      <c r="A27" s="42"/>
      <c r="B27" s="50"/>
      <c r="C27" s="42">
        <f t="shared" si="2"/>
        <v>0</v>
      </c>
      <c r="D27" s="79"/>
      <c r="E27" s="42"/>
      <c r="F27" s="42">
        <f t="shared" si="0"/>
        <v>0</v>
      </c>
      <c r="G27" s="42"/>
    </row>
    <row r="28" spans="1:7" ht="18" x14ac:dyDescent="0.35">
      <c r="A28" s="42"/>
      <c r="B28" s="50"/>
      <c r="C28" s="42"/>
      <c r="D28" s="79"/>
      <c r="E28" s="42"/>
      <c r="F28" s="42">
        <f t="shared" si="0"/>
        <v>0</v>
      </c>
      <c r="G28" s="42"/>
    </row>
    <row r="29" spans="1:7" ht="18" x14ac:dyDescent="0.35">
      <c r="A29" s="42"/>
      <c r="B29" s="50"/>
      <c r="C29" s="42"/>
      <c r="D29" s="79"/>
      <c r="E29" s="42"/>
      <c r="F29" s="42"/>
      <c r="G29" s="42"/>
    </row>
    <row r="30" spans="1:7" ht="18" x14ac:dyDescent="0.35">
      <c r="A30" s="42"/>
      <c r="B30" s="50"/>
      <c r="C30" s="42"/>
      <c r="D30" s="79"/>
      <c r="E30" s="42"/>
      <c r="F30" s="42"/>
      <c r="G30" s="42"/>
    </row>
    <row r="31" spans="1:7" ht="18" x14ac:dyDescent="0.35">
      <c r="A31" s="42"/>
      <c r="B31" s="50"/>
      <c r="C31" s="42"/>
      <c r="D31" s="79"/>
      <c r="E31" s="42"/>
      <c r="F31" s="42"/>
      <c r="G31" s="42"/>
    </row>
    <row r="32" spans="1:7" ht="18" x14ac:dyDescent="0.35">
      <c r="A32" s="42"/>
      <c r="B32" s="50"/>
      <c r="C32" s="42"/>
      <c r="D32" s="79"/>
      <c r="E32" s="42"/>
      <c r="F32" s="42"/>
      <c r="G32" s="42"/>
    </row>
    <row r="33" spans="1:7" ht="18" x14ac:dyDescent="0.35">
      <c r="A33" s="42"/>
      <c r="B33" s="50"/>
      <c r="C33" s="42"/>
      <c r="D33" s="79"/>
      <c r="E33" s="42"/>
      <c r="F33" s="42"/>
      <c r="G33" s="42"/>
    </row>
    <row r="34" spans="1:7" ht="18" x14ac:dyDescent="0.35">
      <c r="A34" s="42"/>
      <c r="B34" s="50"/>
      <c r="C34" s="42"/>
      <c r="D34" s="79"/>
      <c r="E34" s="42"/>
      <c r="F34" s="42"/>
      <c r="G34" s="42"/>
    </row>
    <row r="35" spans="1:7" ht="18" x14ac:dyDescent="0.35">
      <c r="A35" s="42"/>
      <c r="B35" s="50"/>
      <c r="C35" s="42"/>
      <c r="D35" s="79"/>
      <c r="E35" s="42"/>
      <c r="F35" s="42"/>
      <c r="G35" s="42"/>
    </row>
    <row r="36" spans="1:7" ht="18" x14ac:dyDescent="0.35">
      <c r="A36" s="42"/>
      <c r="B36" s="50"/>
      <c r="C36" s="42"/>
      <c r="D36" s="79"/>
      <c r="E36" s="42"/>
      <c r="F36" s="42"/>
      <c r="G36" s="42"/>
    </row>
    <row r="37" spans="1:7" ht="18" x14ac:dyDescent="0.35">
      <c r="A37" s="42"/>
      <c r="B37" s="50"/>
      <c r="C37" s="42"/>
      <c r="D37" s="79"/>
      <c r="E37" s="42"/>
      <c r="F37" s="42"/>
      <c r="G37" s="42"/>
    </row>
    <row r="38" spans="1:7" ht="18" x14ac:dyDescent="0.35">
      <c r="A38" s="42"/>
      <c r="B38" s="50"/>
      <c r="C38" s="42"/>
      <c r="D38" s="79"/>
      <c r="E38" s="42"/>
      <c r="F38" s="42"/>
      <c r="G38" s="42"/>
    </row>
    <row r="39" spans="1:7" ht="18" x14ac:dyDescent="0.35">
      <c r="A39" s="42"/>
      <c r="B39" s="50"/>
      <c r="C39" s="42"/>
      <c r="D39" s="79"/>
      <c r="E39" s="42"/>
      <c r="F39" s="42"/>
      <c r="G39" s="42"/>
    </row>
    <row r="40" spans="1:7" ht="18" x14ac:dyDescent="0.35">
      <c r="A40" s="42"/>
      <c r="B40" s="50"/>
      <c r="C40" s="42"/>
      <c r="D40" s="79"/>
      <c r="E40" s="42"/>
      <c r="F40" s="42"/>
      <c r="G40" s="42"/>
    </row>
    <row r="41" spans="1:7" ht="18" x14ac:dyDescent="0.35">
      <c r="A41" s="42"/>
      <c r="B41" s="50"/>
      <c r="C41" s="42"/>
      <c r="D41" s="79"/>
      <c r="E41" s="42"/>
      <c r="F41" s="42"/>
      <c r="G41" s="42"/>
    </row>
    <row r="42" spans="1:7" ht="18" x14ac:dyDescent="0.35">
      <c r="A42" s="42"/>
      <c r="B42" s="50"/>
      <c r="C42" s="42"/>
      <c r="D42" s="79"/>
      <c r="E42" s="42"/>
      <c r="F42" s="42"/>
      <c r="G42" s="42"/>
    </row>
    <row r="43" spans="1:7" ht="15.6" x14ac:dyDescent="0.3">
      <c r="A43" s="41"/>
      <c r="B43" s="56"/>
      <c r="C43" s="41"/>
    </row>
    <row r="44" spans="1:7" ht="15.6" x14ac:dyDescent="0.3">
      <c r="A44" s="41"/>
      <c r="B44" s="56"/>
    </row>
    <row r="45" spans="1:7" ht="15.6" x14ac:dyDescent="0.3">
      <c r="A45" s="41"/>
      <c r="B45" s="56"/>
    </row>
  </sheetData>
  <mergeCells count="6">
    <mergeCell ref="A4:G4"/>
    <mergeCell ref="A5:G5"/>
    <mergeCell ref="A11:A12"/>
    <mergeCell ref="B11:B12"/>
    <mergeCell ref="D11:E11"/>
    <mergeCell ref="G11:G12"/>
  </mergeCells>
  <pageMargins left="0.45" right="0.11811023622047245" top="0.74803149606299213" bottom="0.74803149606299213" header="0.31496062992125984" footer="0.31496062992125984"/>
  <pageSetup paperSize="9" scale="75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1036-82AD-479F-AA5B-C07C688EE5AE}">
  <sheetPr>
    <tabColor rgb="FF00B050"/>
  </sheetPr>
  <dimension ref="A1:G45"/>
  <sheetViews>
    <sheetView workbookViewId="0">
      <selection activeCell="F14" sqref="F14"/>
    </sheetView>
  </sheetViews>
  <sheetFormatPr defaultRowHeight="14.4" x14ac:dyDescent="0.3"/>
  <cols>
    <col min="1" max="1" width="12.33203125" customWidth="1"/>
    <col min="2" max="2" width="18.44140625" customWidth="1"/>
    <col min="3" max="3" width="10.109375" style="2" customWidth="1"/>
    <col min="4" max="4" width="7.109375" style="2" customWidth="1"/>
    <col min="5" max="5" width="25.6640625" customWidth="1"/>
    <col min="6" max="6" width="12.109375" style="2" customWidth="1"/>
    <col min="7" max="7" width="29.44140625" style="2" customWidth="1"/>
  </cols>
  <sheetData>
    <row r="1" spans="1:7" ht="42" x14ac:dyDescent="0.3">
      <c r="G1" s="62" t="s">
        <v>0</v>
      </c>
    </row>
    <row r="2" spans="1:7" ht="21" x14ac:dyDescent="0.3">
      <c r="G2" s="62"/>
    </row>
    <row r="4" spans="1:7" ht="17.399999999999999" x14ac:dyDescent="0.3">
      <c r="A4" s="102" t="s">
        <v>1</v>
      </c>
      <c r="B4" s="102"/>
      <c r="C4" s="102"/>
      <c r="D4" s="102"/>
      <c r="E4" s="102"/>
      <c r="F4" s="102"/>
      <c r="G4" s="102"/>
    </row>
    <row r="5" spans="1:7" x14ac:dyDescent="0.3">
      <c r="C5"/>
      <c r="D5"/>
      <c r="F5"/>
    </row>
    <row r="6" spans="1:7" ht="15.6" x14ac:dyDescent="0.3">
      <c r="A6" s="3" t="s">
        <v>20</v>
      </c>
      <c r="C6" s="4"/>
      <c r="D6" s="4"/>
      <c r="E6" s="4"/>
      <c r="F6" s="4" t="s">
        <v>2</v>
      </c>
      <c r="G6" s="4"/>
    </row>
    <row r="7" spans="1:7" ht="15" thickBot="1" x14ac:dyDescent="0.35">
      <c r="A7" s="2"/>
      <c r="B7" s="2"/>
      <c r="E7" s="2"/>
    </row>
    <row r="8" spans="1:7" ht="18" x14ac:dyDescent="0.35">
      <c r="A8" s="5" t="s">
        <v>3</v>
      </c>
      <c r="B8" s="6" t="s">
        <v>31</v>
      </c>
      <c r="C8" s="52"/>
      <c r="D8" s="80"/>
      <c r="E8" s="8"/>
      <c r="F8" s="66" t="s">
        <v>4</v>
      </c>
      <c r="G8" s="63" t="s">
        <v>41</v>
      </c>
    </row>
    <row r="9" spans="1:7" ht="18" x14ac:dyDescent="0.35">
      <c r="A9" s="10" t="s">
        <v>5</v>
      </c>
      <c r="B9" s="11" t="s">
        <v>32</v>
      </c>
      <c r="C9" s="53"/>
      <c r="D9" s="81"/>
      <c r="E9" s="13"/>
      <c r="F9" s="67" t="s">
        <v>6</v>
      </c>
      <c r="G9" s="64"/>
    </row>
    <row r="10" spans="1:7" ht="16.2" thickBot="1" x14ac:dyDescent="0.35">
      <c r="A10" s="15" t="s">
        <v>7</v>
      </c>
      <c r="B10" s="16"/>
      <c r="C10" s="54" t="s">
        <v>35</v>
      </c>
      <c r="D10" s="82"/>
      <c r="E10" s="18"/>
      <c r="F10" s="68"/>
      <c r="G10" s="65"/>
    </row>
    <row r="11" spans="1:7" ht="16.8" thickBot="1" x14ac:dyDescent="0.35">
      <c r="A11" s="57" t="s">
        <v>9</v>
      </c>
      <c r="B11" s="57" t="s">
        <v>10</v>
      </c>
      <c r="C11" s="22" t="s">
        <v>11</v>
      </c>
      <c r="D11" s="60" t="s">
        <v>12</v>
      </c>
      <c r="E11" s="61"/>
      <c r="F11" s="23" t="s">
        <v>13</v>
      </c>
      <c r="G11" s="24" t="s">
        <v>14</v>
      </c>
    </row>
    <row r="12" spans="1:7" ht="16.2" thickBot="1" x14ac:dyDescent="0.35">
      <c r="A12" s="58"/>
      <c r="B12" s="59"/>
      <c r="C12" s="25" t="s">
        <v>15</v>
      </c>
      <c r="D12" s="47" t="s">
        <v>15</v>
      </c>
      <c r="E12" s="27" t="s">
        <v>36</v>
      </c>
      <c r="F12" s="48" t="s">
        <v>15</v>
      </c>
      <c r="G12" s="29"/>
    </row>
    <row r="13" spans="1:7" ht="18" x14ac:dyDescent="0.35">
      <c r="A13" s="44" t="s">
        <v>33</v>
      </c>
      <c r="B13" s="45" t="s">
        <v>52</v>
      </c>
      <c r="C13" s="55">
        <v>85</v>
      </c>
      <c r="D13" s="49">
        <v>5</v>
      </c>
      <c r="E13" s="46" t="s">
        <v>42</v>
      </c>
      <c r="F13" s="49">
        <f>C13-D13</f>
        <v>80</v>
      </c>
      <c r="G13" s="49" t="s">
        <v>73</v>
      </c>
    </row>
    <row r="14" spans="1:7" ht="18" x14ac:dyDescent="0.35">
      <c r="A14" s="42"/>
      <c r="B14" s="42" t="s">
        <v>34</v>
      </c>
      <c r="C14" s="50">
        <f>F13</f>
        <v>80</v>
      </c>
      <c r="D14" s="49">
        <v>5</v>
      </c>
      <c r="E14" s="42" t="s">
        <v>43</v>
      </c>
      <c r="F14" s="50">
        <f t="shared" ref="F14:F23" si="0">C14-D14</f>
        <v>75</v>
      </c>
      <c r="G14" s="49" t="s">
        <v>73</v>
      </c>
    </row>
    <row r="15" spans="1:7" ht="18" x14ac:dyDescent="0.35">
      <c r="A15" s="42"/>
      <c r="B15" s="42"/>
      <c r="C15" s="50">
        <f t="shared" ref="C15:C23" si="1">F14</f>
        <v>75</v>
      </c>
      <c r="D15" s="49">
        <v>5</v>
      </c>
      <c r="E15" s="42" t="s">
        <v>44</v>
      </c>
      <c r="F15" s="50">
        <f t="shared" si="0"/>
        <v>70</v>
      </c>
      <c r="G15" s="49" t="s">
        <v>73</v>
      </c>
    </row>
    <row r="16" spans="1:7" ht="18" x14ac:dyDescent="0.35">
      <c r="A16" s="43"/>
      <c r="B16" s="42"/>
      <c r="C16" s="50">
        <f t="shared" si="1"/>
        <v>70</v>
      </c>
      <c r="D16" s="49">
        <v>5</v>
      </c>
      <c r="E16" s="42" t="s">
        <v>45</v>
      </c>
      <c r="F16" s="50">
        <f t="shared" si="0"/>
        <v>65</v>
      </c>
      <c r="G16" s="49" t="s">
        <v>73</v>
      </c>
    </row>
    <row r="17" spans="1:7" ht="18" x14ac:dyDescent="0.35">
      <c r="A17" s="42"/>
      <c r="B17" s="42"/>
      <c r="C17" s="50">
        <f t="shared" si="1"/>
        <v>65</v>
      </c>
      <c r="D17" s="49">
        <v>5</v>
      </c>
      <c r="E17" s="42" t="s">
        <v>46</v>
      </c>
      <c r="F17" s="50">
        <f t="shared" si="0"/>
        <v>60</v>
      </c>
      <c r="G17" s="49" t="s">
        <v>73</v>
      </c>
    </row>
    <row r="18" spans="1:7" ht="18" x14ac:dyDescent="0.35">
      <c r="A18" s="42"/>
      <c r="B18" s="42"/>
      <c r="C18" s="50">
        <f t="shared" si="1"/>
        <v>60</v>
      </c>
      <c r="D18" s="49">
        <v>5</v>
      </c>
      <c r="E18" s="42" t="s">
        <v>47</v>
      </c>
      <c r="F18" s="50">
        <f t="shared" si="0"/>
        <v>55</v>
      </c>
      <c r="G18" s="49" t="s">
        <v>73</v>
      </c>
    </row>
    <row r="19" spans="1:7" ht="18" x14ac:dyDescent="0.35">
      <c r="A19" s="42"/>
      <c r="B19" s="42"/>
      <c r="C19" s="50">
        <f t="shared" si="1"/>
        <v>55</v>
      </c>
      <c r="D19" s="49">
        <v>5</v>
      </c>
      <c r="E19" s="42" t="s">
        <v>48</v>
      </c>
      <c r="F19" s="50">
        <f t="shared" si="0"/>
        <v>50</v>
      </c>
      <c r="G19" s="49" t="s">
        <v>73</v>
      </c>
    </row>
    <row r="20" spans="1:7" ht="18" x14ac:dyDescent="0.35">
      <c r="A20" s="42"/>
      <c r="B20" s="42"/>
      <c r="C20" s="50">
        <f t="shared" si="1"/>
        <v>50</v>
      </c>
      <c r="D20" s="49">
        <v>5</v>
      </c>
      <c r="E20" s="42" t="s">
        <v>49</v>
      </c>
      <c r="F20" s="50">
        <f t="shared" si="0"/>
        <v>45</v>
      </c>
      <c r="G20" s="49" t="s">
        <v>73</v>
      </c>
    </row>
    <row r="21" spans="1:7" ht="18" x14ac:dyDescent="0.35">
      <c r="A21" s="42"/>
      <c r="B21" s="42"/>
      <c r="C21" s="50">
        <f t="shared" si="1"/>
        <v>45</v>
      </c>
      <c r="D21" s="49">
        <v>5</v>
      </c>
      <c r="E21" s="42" t="s">
        <v>50</v>
      </c>
      <c r="F21" s="50">
        <f t="shared" si="0"/>
        <v>40</v>
      </c>
      <c r="G21" s="49" t="s">
        <v>73</v>
      </c>
    </row>
    <row r="22" spans="1:7" ht="18" x14ac:dyDescent="0.35">
      <c r="A22" s="42"/>
      <c r="B22" s="42"/>
      <c r="C22" s="50">
        <f t="shared" si="1"/>
        <v>40</v>
      </c>
      <c r="D22" s="50">
        <v>20</v>
      </c>
      <c r="E22" s="42" t="s">
        <v>51</v>
      </c>
      <c r="F22" s="50">
        <f t="shared" si="0"/>
        <v>20</v>
      </c>
      <c r="G22" s="49" t="s">
        <v>73</v>
      </c>
    </row>
    <row r="23" spans="1:7" ht="18" x14ac:dyDescent="0.35">
      <c r="A23" s="42"/>
      <c r="B23" s="42"/>
      <c r="C23" s="50">
        <f t="shared" si="1"/>
        <v>20</v>
      </c>
      <c r="D23" s="50">
        <v>20</v>
      </c>
      <c r="E23" s="42" t="s">
        <v>97</v>
      </c>
      <c r="F23" s="50">
        <f t="shared" si="0"/>
        <v>0</v>
      </c>
      <c r="G23" s="49" t="s">
        <v>73</v>
      </c>
    </row>
    <row r="24" spans="1:7" ht="18" x14ac:dyDescent="0.35">
      <c r="A24" s="42"/>
      <c r="B24" s="42"/>
      <c r="C24" s="50"/>
      <c r="D24" s="50"/>
      <c r="E24" s="42"/>
      <c r="F24" s="50"/>
      <c r="G24" s="50"/>
    </row>
    <row r="25" spans="1:7" ht="18" x14ac:dyDescent="0.35">
      <c r="A25" s="42"/>
      <c r="B25" s="42"/>
      <c r="C25" s="50"/>
      <c r="D25" s="50"/>
      <c r="E25" s="42"/>
      <c r="F25" s="50"/>
      <c r="G25" s="50"/>
    </row>
    <row r="26" spans="1:7" ht="18" x14ac:dyDescent="0.35">
      <c r="A26" s="42"/>
      <c r="B26" s="42"/>
      <c r="C26" s="50"/>
      <c r="D26" s="50"/>
      <c r="E26" s="42"/>
      <c r="F26" s="50"/>
      <c r="G26" s="50"/>
    </row>
    <row r="27" spans="1:7" ht="18" x14ac:dyDescent="0.35">
      <c r="A27" s="42"/>
      <c r="B27" s="42"/>
      <c r="C27" s="50"/>
      <c r="D27" s="50"/>
      <c r="E27" s="42"/>
      <c r="F27" s="50"/>
      <c r="G27" s="50"/>
    </row>
    <row r="28" spans="1:7" ht="18" x14ac:dyDescent="0.35">
      <c r="A28" s="42"/>
      <c r="B28" s="42"/>
      <c r="C28" s="50"/>
      <c r="D28" s="50"/>
      <c r="E28" s="42"/>
      <c r="F28" s="50"/>
      <c r="G28" s="50"/>
    </row>
    <row r="29" spans="1:7" ht="18" x14ac:dyDescent="0.35">
      <c r="A29" s="42"/>
      <c r="B29" s="42"/>
      <c r="C29" s="50"/>
      <c r="D29" s="50"/>
      <c r="E29" s="42"/>
      <c r="F29" s="50"/>
      <c r="G29" s="50"/>
    </row>
    <row r="30" spans="1:7" ht="18" x14ac:dyDescent="0.35">
      <c r="A30" s="42"/>
      <c r="B30" s="42"/>
      <c r="C30" s="50"/>
      <c r="D30" s="50"/>
      <c r="E30" s="42"/>
      <c r="F30" s="50"/>
      <c r="G30" s="50"/>
    </row>
    <row r="31" spans="1:7" ht="18" x14ac:dyDescent="0.35">
      <c r="A31" s="42"/>
      <c r="B31" s="42"/>
      <c r="C31" s="50"/>
      <c r="D31" s="50"/>
      <c r="E31" s="42"/>
      <c r="F31" s="50"/>
      <c r="G31" s="50"/>
    </row>
    <row r="32" spans="1:7" ht="18" x14ac:dyDescent="0.35">
      <c r="A32" s="42"/>
      <c r="B32" s="42"/>
      <c r="C32" s="50"/>
      <c r="D32" s="50"/>
      <c r="E32" s="42"/>
      <c r="F32" s="50"/>
      <c r="G32" s="50"/>
    </row>
    <row r="33" spans="1:7" ht="18" x14ac:dyDescent="0.35">
      <c r="A33" s="42"/>
      <c r="B33" s="42"/>
      <c r="C33" s="50"/>
      <c r="D33" s="50"/>
      <c r="E33" s="42"/>
      <c r="F33" s="50"/>
      <c r="G33" s="50"/>
    </row>
    <row r="34" spans="1:7" ht="18" x14ac:dyDescent="0.35">
      <c r="A34" s="42"/>
      <c r="B34" s="42"/>
      <c r="C34" s="50"/>
      <c r="D34" s="50"/>
      <c r="E34" s="42"/>
      <c r="F34" s="50"/>
      <c r="G34" s="50"/>
    </row>
    <row r="35" spans="1:7" ht="18" x14ac:dyDescent="0.35">
      <c r="A35" s="42"/>
      <c r="B35" s="42"/>
      <c r="C35" s="50"/>
      <c r="D35" s="50"/>
      <c r="E35" s="42"/>
      <c r="F35" s="50"/>
      <c r="G35" s="50"/>
    </row>
    <row r="36" spans="1:7" ht="18" x14ac:dyDescent="0.35">
      <c r="A36" s="42"/>
      <c r="B36" s="42"/>
      <c r="C36" s="50"/>
      <c r="D36" s="50"/>
      <c r="E36" s="42"/>
      <c r="F36" s="50"/>
      <c r="G36" s="50"/>
    </row>
    <row r="37" spans="1:7" ht="18" x14ac:dyDescent="0.35">
      <c r="A37" s="42"/>
      <c r="B37" s="42"/>
      <c r="C37" s="50"/>
      <c r="D37" s="50"/>
      <c r="E37" s="42"/>
      <c r="F37" s="50"/>
      <c r="G37" s="50"/>
    </row>
    <row r="38" spans="1:7" ht="18" x14ac:dyDescent="0.35">
      <c r="A38" s="42"/>
      <c r="B38" s="42"/>
      <c r="C38" s="50"/>
      <c r="D38" s="50"/>
      <c r="E38" s="42"/>
      <c r="F38" s="50"/>
      <c r="G38" s="50"/>
    </row>
    <row r="39" spans="1:7" ht="18" x14ac:dyDescent="0.35">
      <c r="A39" s="42"/>
      <c r="B39" s="42"/>
      <c r="C39" s="50"/>
      <c r="D39" s="50"/>
      <c r="E39" s="42"/>
      <c r="F39" s="50"/>
      <c r="G39" s="50"/>
    </row>
    <row r="40" spans="1:7" ht="18" x14ac:dyDescent="0.35">
      <c r="A40" s="42"/>
      <c r="B40" s="42"/>
      <c r="C40" s="50"/>
      <c r="D40" s="50"/>
      <c r="E40" s="42"/>
      <c r="F40" s="50"/>
      <c r="G40" s="50"/>
    </row>
    <row r="41" spans="1:7" ht="18" x14ac:dyDescent="0.35">
      <c r="A41" s="42"/>
      <c r="B41" s="42"/>
      <c r="C41" s="50"/>
      <c r="D41" s="50"/>
      <c r="E41" s="42"/>
      <c r="F41" s="50"/>
      <c r="G41" s="50"/>
    </row>
    <row r="42" spans="1:7" ht="18" x14ac:dyDescent="0.35">
      <c r="A42" s="42"/>
      <c r="B42" s="42"/>
      <c r="C42" s="50"/>
      <c r="D42" s="50"/>
      <c r="E42" s="42"/>
      <c r="F42" s="50"/>
      <c r="G42" s="50"/>
    </row>
    <row r="43" spans="1:7" ht="15.6" x14ac:dyDescent="0.3">
      <c r="A43" s="41"/>
      <c r="B43" s="41"/>
      <c r="C43" s="56"/>
    </row>
    <row r="44" spans="1:7" ht="15.6" x14ac:dyDescent="0.3">
      <c r="A44" s="41"/>
      <c r="B44" s="41"/>
    </row>
    <row r="45" spans="1:7" ht="15.6" x14ac:dyDescent="0.3">
      <c r="A45" s="41"/>
      <c r="B45" s="41"/>
    </row>
  </sheetData>
  <mergeCells count="1">
    <mergeCell ref="A4:G4"/>
  </mergeCells>
  <pageMargins left="0.44" right="0.15748031496062992" top="0.74803149606299213" bottom="0.74803149606299213" header="0.31496062992125984" footer="0.31496062992125984"/>
  <pageSetup paperSize="9" scale="8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A9B1-E98B-4D6B-A47D-D1975D1D8AF7}">
  <sheetPr>
    <tabColor rgb="FF00B050"/>
  </sheetPr>
  <dimension ref="A1:O39"/>
  <sheetViews>
    <sheetView topLeftCell="A19" workbookViewId="0">
      <selection activeCell="E13" sqref="E13:E35"/>
    </sheetView>
  </sheetViews>
  <sheetFormatPr defaultRowHeight="14.4" x14ac:dyDescent="0.3"/>
  <cols>
    <col min="1" max="1" width="12.33203125" customWidth="1"/>
    <col min="2" max="2" width="22.109375" customWidth="1"/>
    <col min="3" max="3" width="13" style="2" customWidth="1"/>
    <col min="4" max="4" width="13" customWidth="1"/>
    <col min="5" max="5" width="25.6640625" style="2" customWidth="1"/>
    <col min="6" max="6" width="17.44140625" customWidth="1"/>
    <col min="7" max="7" width="25.5546875" style="2" customWidth="1"/>
    <col min="9" max="9" width="12.33203125" customWidth="1"/>
    <col min="10" max="10" width="22.109375" customWidth="1"/>
    <col min="11" max="12" width="13" customWidth="1"/>
    <col min="13" max="13" width="25.6640625" style="2" customWidth="1"/>
    <col min="14" max="14" width="15.33203125" style="2" customWidth="1"/>
    <col min="15" max="15" width="23.77734375" customWidth="1"/>
  </cols>
  <sheetData>
    <row r="1" spans="1:15" ht="42" x14ac:dyDescent="0.3">
      <c r="G1" s="62" t="s">
        <v>0</v>
      </c>
      <c r="O1" s="1" t="s">
        <v>0</v>
      </c>
    </row>
    <row r="2" spans="1:15" ht="21" x14ac:dyDescent="0.3">
      <c r="G2" s="62"/>
      <c r="O2" s="1"/>
    </row>
    <row r="4" spans="1:15" ht="17.399999999999999" x14ac:dyDescent="0.3">
      <c r="A4" s="102" t="s">
        <v>1</v>
      </c>
      <c r="B4" s="102"/>
      <c r="C4" s="102"/>
      <c r="D4" s="102"/>
      <c r="E4" s="102"/>
      <c r="F4" s="102"/>
      <c r="G4" s="102"/>
      <c r="I4" s="102" t="s">
        <v>1</v>
      </c>
      <c r="J4" s="102"/>
      <c r="K4" s="102"/>
      <c r="L4" s="102"/>
      <c r="M4" s="102"/>
      <c r="N4" s="102"/>
      <c r="O4" s="102"/>
    </row>
    <row r="5" spans="1:15" x14ac:dyDescent="0.3">
      <c r="A5" s="103"/>
      <c r="B5" s="103"/>
      <c r="C5" s="103"/>
      <c r="D5" s="103"/>
      <c r="E5" s="103"/>
      <c r="F5" s="103"/>
      <c r="G5" s="103"/>
      <c r="I5" s="103"/>
      <c r="J5" s="103"/>
      <c r="K5" s="103"/>
      <c r="L5" s="103"/>
      <c r="M5" s="103"/>
      <c r="N5" s="103"/>
      <c r="O5" s="103"/>
    </row>
    <row r="6" spans="1:15" ht="15.6" x14ac:dyDescent="0.3">
      <c r="A6" s="3" t="s">
        <v>20</v>
      </c>
      <c r="C6" s="4"/>
      <c r="D6" s="4"/>
      <c r="E6" s="4"/>
      <c r="F6" s="3" t="s">
        <v>2</v>
      </c>
      <c r="G6" s="4"/>
      <c r="I6" s="3" t="s">
        <v>20</v>
      </c>
      <c r="K6" s="4"/>
      <c r="L6" s="4"/>
      <c r="M6" s="4"/>
      <c r="N6" s="4" t="s">
        <v>2</v>
      </c>
      <c r="O6" s="4"/>
    </row>
    <row r="7" spans="1:15" ht="15" thickBot="1" x14ac:dyDescent="0.35">
      <c r="A7" s="2"/>
      <c r="B7" s="2"/>
      <c r="D7" s="2"/>
      <c r="F7" s="2"/>
      <c r="I7" s="2"/>
      <c r="J7" s="2"/>
      <c r="K7" s="2"/>
      <c r="L7" s="2"/>
      <c r="O7" s="2"/>
    </row>
    <row r="8" spans="1:15" ht="18" x14ac:dyDescent="0.35">
      <c r="A8" s="5" t="s">
        <v>3</v>
      </c>
      <c r="B8" s="6" t="s">
        <v>21</v>
      </c>
      <c r="C8" s="52"/>
      <c r="D8" s="7"/>
      <c r="E8" s="63"/>
      <c r="F8" s="9" t="s">
        <v>4</v>
      </c>
      <c r="G8" s="63" t="s">
        <v>70</v>
      </c>
      <c r="I8" s="5" t="s">
        <v>3</v>
      </c>
      <c r="J8" s="6" t="s">
        <v>71</v>
      </c>
      <c r="K8" s="6"/>
      <c r="L8" s="7"/>
      <c r="M8" s="63"/>
      <c r="N8" s="66" t="s">
        <v>4</v>
      </c>
      <c r="O8" s="8" t="s">
        <v>74</v>
      </c>
    </row>
    <row r="9" spans="1:15" ht="18" x14ac:dyDescent="0.35">
      <c r="A9" s="10" t="s">
        <v>5</v>
      </c>
      <c r="B9" s="11" t="s">
        <v>53</v>
      </c>
      <c r="C9" s="53"/>
      <c r="D9" s="12"/>
      <c r="E9" s="64"/>
      <c r="F9" s="14" t="s">
        <v>6</v>
      </c>
      <c r="G9" s="64"/>
      <c r="I9" s="10" t="s">
        <v>5</v>
      </c>
      <c r="J9" s="11" t="s">
        <v>72</v>
      </c>
      <c r="K9" s="11"/>
      <c r="L9" s="12"/>
      <c r="M9" s="64"/>
      <c r="N9" s="67" t="s">
        <v>6</v>
      </c>
      <c r="O9" s="13"/>
    </row>
    <row r="10" spans="1:15" ht="16.2" thickBot="1" x14ac:dyDescent="0.35">
      <c r="A10" s="15" t="s">
        <v>7</v>
      </c>
      <c r="B10" s="16"/>
      <c r="C10" s="54" t="s">
        <v>35</v>
      </c>
      <c r="D10" s="17"/>
      <c r="E10" s="69"/>
      <c r="F10" s="19"/>
      <c r="G10" s="65"/>
      <c r="I10" s="15" t="s">
        <v>7</v>
      </c>
      <c r="J10" s="16"/>
      <c r="K10" s="16" t="s">
        <v>35</v>
      </c>
      <c r="L10" s="17"/>
      <c r="M10" s="69"/>
      <c r="N10" s="68"/>
      <c r="O10" s="20"/>
    </row>
    <row r="11" spans="1:15" ht="16.8" thickBot="1" x14ac:dyDescent="0.35">
      <c r="A11" s="104" t="s">
        <v>9</v>
      </c>
      <c r="B11" s="104" t="s">
        <v>10</v>
      </c>
      <c r="C11" s="22" t="s">
        <v>11</v>
      </c>
      <c r="D11" s="106" t="s">
        <v>12</v>
      </c>
      <c r="E11" s="107"/>
      <c r="F11" s="23" t="s">
        <v>13</v>
      </c>
      <c r="G11" s="108" t="s">
        <v>14</v>
      </c>
      <c r="I11" s="104" t="s">
        <v>9</v>
      </c>
      <c r="J11" s="104" t="s">
        <v>10</v>
      </c>
      <c r="K11" s="22" t="s">
        <v>11</v>
      </c>
      <c r="L11" s="106" t="s">
        <v>12</v>
      </c>
      <c r="M11" s="107"/>
      <c r="N11" s="23" t="s">
        <v>13</v>
      </c>
      <c r="O11" s="108" t="s">
        <v>14</v>
      </c>
    </row>
    <row r="12" spans="1:15" ht="16.2" thickBot="1" x14ac:dyDescent="0.35">
      <c r="A12" s="105"/>
      <c r="B12" s="105"/>
      <c r="C12" s="25" t="s">
        <v>15</v>
      </c>
      <c r="D12" s="47" t="s">
        <v>15</v>
      </c>
      <c r="E12" s="27" t="s">
        <v>36</v>
      </c>
      <c r="F12" s="48" t="s">
        <v>15</v>
      </c>
      <c r="G12" s="109"/>
      <c r="I12" s="115"/>
      <c r="J12" s="105"/>
      <c r="K12" s="25" t="s">
        <v>15</v>
      </c>
      <c r="L12" s="47" t="s">
        <v>15</v>
      </c>
      <c r="M12" s="27" t="s">
        <v>36</v>
      </c>
      <c r="N12" s="48" t="s">
        <v>15</v>
      </c>
      <c r="O12" s="109"/>
    </row>
    <row r="13" spans="1:15" ht="18" x14ac:dyDescent="0.35">
      <c r="A13" s="44">
        <v>45727</v>
      </c>
      <c r="B13" s="51" t="s">
        <v>69</v>
      </c>
      <c r="C13" s="55">
        <f>1579+1522</f>
        <v>3101</v>
      </c>
      <c r="D13" s="49">
        <v>251</v>
      </c>
      <c r="E13" s="55" t="s">
        <v>54</v>
      </c>
      <c r="F13" s="45">
        <f>C13-D13</f>
        <v>2850</v>
      </c>
      <c r="G13" s="49" t="s">
        <v>73</v>
      </c>
      <c r="I13" s="44">
        <v>45727</v>
      </c>
      <c r="J13" s="51" t="s">
        <v>69</v>
      </c>
      <c r="K13" s="46">
        <v>31</v>
      </c>
      <c r="L13" s="49">
        <v>2</v>
      </c>
      <c r="M13" s="55" t="s">
        <v>54</v>
      </c>
      <c r="N13" s="49">
        <f>K13-L13</f>
        <v>29</v>
      </c>
      <c r="O13" s="49" t="s">
        <v>73</v>
      </c>
    </row>
    <row r="14" spans="1:15" ht="18" x14ac:dyDescent="0.35">
      <c r="A14" s="43">
        <v>45758</v>
      </c>
      <c r="B14" s="51" t="s">
        <v>82</v>
      </c>
      <c r="C14" s="50">
        <f>F13</f>
        <v>2850</v>
      </c>
      <c r="D14" s="50">
        <v>215</v>
      </c>
      <c r="E14" s="50" t="s">
        <v>62</v>
      </c>
      <c r="F14" s="45">
        <f>C14-D14</f>
        <v>2635</v>
      </c>
      <c r="G14" s="50" t="s">
        <v>73</v>
      </c>
      <c r="I14" s="43">
        <v>45758</v>
      </c>
      <c r="J14" s="51" t="s">
        <v>82</v>
      </c>
      <c r="K14" s="42">
        <f>N13</f>
        <v>29</v>
      </c>
      <c r="L14" s="50">
        <v>2</v>
      </c>
      <c r="M14" s="50" t="s">
        <v>62</v>
      </c>
      <c r="N14" s="49">
        <f>K14-L14</f>
        <v>27</v>
      </c>
      <c r="O14" s="50" t="s">
        <v>73</v>
      </c>
    </row>
    <row r="15" spans="1:15" ht="18" x14ac:dyDescent="0.35">
      <c r="A15" s="43">
        <v>45788</v>
      </c>
      <c r="B15" s="42"/>
      <c r="C15" s="50">
        <f>F14</f>
        <v>2635</v>
      </c>
      <c r="D15" s="50">
        <v>172</v>
      </c>
      <c r="E15" s="50" t="s">
        <v>59</v>
      </c>
      <c r="F15" s="45">
        <f>C15-D15</f>
        <v>2463</v>
      </c>
      <c r="G15" s="50" t="s">
        <v>73</v>
      </c>
      <c r="I15" s="43">
        <v>45788</v>
      </c>
      <c r="J15" s="42"/>
      <c r="K15" s="42">
        <f>N14</f>
        <v>27</v>
      </c>
      <c r="L15" s="50">
        <v>2</v>
      </c>
      <c r="M15" s="50" t="s">
        <v>59</v>
      </c>
      <c r="N15" s="49">
        <f>K15-L15</f>
        <v>25</v>
      </c>
      <c r="O15" s="50" t="s">
        <v>73</v>
      </c>
    </row>
    <row r="16" spans="1:15" ht="18" x14ac:dyDescent="0.35">
      <c r="A16" s="43">
        <v>45788</v>
      </c>
      <c r="B16" s="42"/>
      <c r="C16" s="50">
        <f t="shared" ref="C16:C35" si="0">F15</f>
        <v>2463</v>
      </c>
      <c r="D16" s="50">
        <v>90</v>
      </c>
      <c r="E16" s="50" t="s">
        <v>60</v>
      </c>
      <c r="F16" s="45">
        <f t="shared" ref="F16:F35" si="1">C16-D16</f>
        <v>2373</v>
      </c>
      <c r="G16" s="50" t="s">
        <v>73</v>
      </c>
      <c r="I16" s="43">
        <v>45788</v>
      </c>
      <c r="J16" s="42"/>
      <c r="K16" s="42">
        <f t="shared" ref="K16:K31" si="2">N15</f>
        <v>25</v>
      </c>
      <c r="L16" s="50">
        <v>2</v>
      </c>
      <c r="M16" s="50" t="s">
        <v>60</v>
      </c>
      <c r="N16" s="49">
        <f t="shared" ref="N16:N35" si="3">K16-L16</f>
        <v>23</v>
      </c>
      <c r="O16" s="50" t="s">
        <v>73</v>
      </c>
    </row>
    <row r="17" spans="1:15" ht="18" x14ac:dyDescent="0.35">
      <c r="A17" s="43">
        <v>45788</v>
      </c>
      <c r="B17" s="42"/>
      <c r="C17" s="50">
        <f t="shared" si="0"/>
        <v>2373</v>
      </c>
      <c r="D17" s="50">
        <v>245</v>
      </c>
      <c r="E17" s="50" t="s">
        <v>66</v>
      </c>
      <c r="F17" s="45">
        <f t="shared" si="1"/>
        <v>2128</v>
      </c>
      <c r="G17" s="50" t="s">
        <v>73</v>
      </c>
      <c r="I17" s="43">
        <v>45788</v>
      </c>
      <c r="J17" s="42"/>
      <c r="K17" s="42">
        <f t="shared" si="2"/>
        <v>23</v>
      </c>
      <c r="L17" s="50">
        <v>1</v>
      </c>
      <c r="M17" s="50" t="s">
        <v>66</v>
      </c>
      <c r="N17" s="49">
        <f t="shared" si="3"/>
        <v>22</v>
      </c>
      <c r="O17" s="50" t="s">
        <v>73</v>
      </c>
    </row>
    <row r="18" spans="1:15" ht="18" x14ac:dyDescent="0.35">
      <c r="A18" s="43">
        <v>45788</v>
      </c>
      <c r="B18" s="42"/>
      <c r="C18" s="50">
        <f t="shared" si="0"/>
        <v>2128</v>
      </c>
      <c r="D18" s="50">
        <v>75</v>
      </c>
      <c r="E18" s="50" t="s">
        <v>68</v>
      </c>
      <c r="F18" s="45">
        <f t="shared" si="1"/>
        <v>2053</v>
      </c>
      <c r="G18" s="50" t="s">
        <v>73</v>
      </c>
      <c r="I18" s="43">
        <v>45788</v>
      </c>
      <c r="J18" s="42"/>
      <c r="K18" s="42">
        <f t="shared" si="2"/>
        <v>22</v>
      </c>
      <c r="L18" s="50">
        <v>1</v>
      </c>
      <c r="M18" s="50" t="s">
        <v>68</v>
      </c>
      <c r="N18" s="49">
        <f t="shared" si="3"/>
        <v>21</v>
      </c>
      <c r="O18" s="50" t="s">
        <v>73</v>
      </c>
    </row>
    <row r="19" spans="1:15" ht="18" x14ac:dyDescent="0.35">
      <c r="A19" s="43">
        <v>45788</v>
      </c>
      <c r="B19" s="42"/>
      <c r="C19" s="50">
        <f t="shared" si="0"/>
        <v>2053</v>
      </c>
      <c r="D19" s="50">
        <v>70</v>
      </c>
      <c r="E19" s="50" t="s">
        <v>63</v>
      </c>
      <c r="F19" s="45">
        <f t="shared" si="1"/>
        <v>1983</v>
      </c>
      <c r="G19" s="50" t="s">
        <v>73</v>
      </c>
      <c r="I19" s="43">
        <v>45788</v>
      </c>
      <c r="J19" s="42"/>
      <c r="K19" s="42">
        <f t="shared" si="2"/>
        <v>21</v>
      </c>
      <c r="L19" s="50">
        <v>1</v>
      </c>
      <c r="M19" s="50" t="s">
        <v>63</v>
      </c>
      <c r="N19" s="49">
        <f t="shared" si="3"/>
        <v>20</v>
      </c>
      <c r="O19" s="50" t="s">
        <v>73</v>
      </c>
    </row>
    <row r="20" spans="1:15" ht="18" x14ac:dyDescent="0.35">
      <c r="A20" s="43">
        <v>45788</v>
      </c>
      <c r="B20" s="42"/>
      <c r="C20" s="50">
        <f t="shared" si="0"/>
        <v>1983</v>
      </c>
      <c r="D20" s="50">
        <v>67</v>
      </c>
      <c r="E20" s="50" t="s">
        <v>37</v>
      </c>
      <c r="F20" s="45">
        <f t="shared" si="1"/>
        <v>1916</v>
      </c>
      <c r="G20" s="50" t="s">
        <v>73</v>
      </c>
      <c r="I20" s="43">
        <v>45788</v>
      </c>
      <c r="J20" s="42"/>
      <c r="K20" s="42">
        <f t="shared" si="2"/>
        <v>20</v>
      </c>
      <c r="L20" s="50">
        <v>1</v>
      </c>
      <c r="M20" s="50" t="s">
        <v>37</v>
      </c>
      <c r="N20" s="49">
        <f t="shared" si="3"/>
        <v>19</v>
      </c>
      <c r="O20" s="50" t="s">
        <v>73</v>
      </c>
    </row>
    <row r="21" spans="1:15" ht="18" x14ac:dyDescent="0.35">
      <c r="A21" s="43">
        <v>45788</v>
      </c>
      <c r="B21" s="42"/>
      <c r="C21" s="50">
        <f t="shared" si="0"/>
        <v>1916</v>
      </c>
      <c r="D21" s="50">
        <v>155</v>
      </c>
      <c r="E21" s="50" t="s">
        <v>40</v>
      </c>
      <c r="F21" s="45">
        <f t="shared" si="1"/>
        <v>1761</v>
      </c>
      <c r="G21" s="50" t="s">
        <v>73</v>
      </c>
      <c r="I21" s="43">
        <v>45788</v>
      </c>
      <c r="J21" s="42"/>
      <c r="K21" s="42">
        <f t="shared" si="2"/>
        <v>19</v>
      </c>
      <c r="L21" s="50">
        <v>1</v>
      </c>
      <c r="M21" s="50" t="s">
        <v>40</v>
      </c>
      <c r="N21" s="49">
        <f t="shared" si="3"/>
        <v>18</v>
      </c>
      <c r="O21" s="50" t="s">
        <v>73</v>
      </c>
    </row>
    <row r="22" spans="1:15" ht="18" x14ac:dyDescent="0.35">
      <c r="A22" s="43">
        <v>45819</v>
      </c>
      <c r="B22" s="42"/>
      <c r="C22" s="50">
        <f t="shared" si="0"/>
        <v>1761</v>
      </c>
      <c r="D22" s="50">
        <v>220</v>
      </c>
      <c r="E22" s="50" t="s">
        <v>56</v>
      </c>
      <c r="F22" s="45">
        <f t="shared" si="1"/>
        <v>1541</v>
      </c>
      <c r="G22" s="50" t="s">
        <v>73</v>
      </c>
      <c r="I22" s="43">
        <v>45819</v>
      </c>
      <c r="J22" s="42"/>
      <c r="K22" s="42">
        <f t="shared" si="2"/>
        <v>18</v>
      </c>
      <c r="L22" s="50">
        <v>2</v>
      </c>
      <c r="M22" s="50" t="s">
        <v>56</v>
      </c>
      <c r="N22" s="49">
        <f t="shared" si="3"/>
        <v>16</v>
      </c>
      <c r="O22" s="50" t="s">
        <v>73</v>
      </c>
    </row>
    <row r="23" spans="1:15" ht="18" x14ac:dyDescent="0.35">
      <c r="A23" s="43">
        <v>45849</v>
      </c>
      <c r="B23" s="42"/>
      <c r="C23" s="50">
        <f t="shared" si="0"/>
        <v>1541</v>
      </c>
      <c r="D23" s="50">
        <v>26</v>
      </c>
      <c r="E23" s="50" t="s">
        <v>45</v>
      </c>
      <c r="F23" s="45">
        <f t="shared" si="1"/>
        <v>1515</v>
      </c>
      <c r="G23" s="50" t="s">
        <v>73</v>
      </c>
      <c r="I23" s="43">
        <v>45849</v>
      </c>
      <c r="J23" s="42"/>
      <c r="K23" s="42">
        <f t="shared" si="2"/>
        <v>16</v>
      </c>
      <c r="L23" s="50">
        <v>1</v>
      </c>
      <c r="M23" s="50" t="s">
        <v>45</v>
      </c>
      <c r="N23" s="49">
        <f t="shared" si="3"/>
        <v>15</v>
      </c>
      <c r="O23" s="50" t="s">
        <v>73</v>
      </c>
    </row>
    <row r="24" spans="1:15" ht="18" x14ac:dyDescent="0.35">
      <c r="A24" s="43">
        <v>45819</v>
      </c>
      <c r="B24" s="42"/>
      <c r="C24" s="50">
        <f t="shared" si="0"/>
        <v>1515</v>
      </c>
      <c r="D24" s="50">
        <v>207</v>
      </c>
      <c r="E24" s="50" t="s">
        <v>47</v>
      </c>
      <c r="F24" s="45">
        <f t="shared" si="1"/>
        <v>1308</v>
      </c>
      <c r="G24" s="50" t="s">
        <v>73</v>
      </c>
      <c r="I24" s="43">
        <v>45819</v>
      </c>
      <c r="J24" s="42"/>
      <c r="K24" s="42">
        <f t="shared" si="2"/>
        <v>15</v>
      </c>
      <c r="L24" s="50">
        <v>1</v>
      </c>
      <c r="M24" s="50" t="s">
        <v>47</v>
      </c>
      <c r="N24" s="49">
        <f t="shared" si="3"/>
        <v>14</v>
      </c>
      <c r="O24" s="50" t="s">
        <v>73</v>
      </c>
    </row>
    <row r="25" spans="1:15" ht="18" x14ac:dyDescent="0.35">
      <c r="A25" s="43">
        <v>45849</v>
      </c>
      <c r="B25" s="42"/>
      <c r="C25" s="50">
        <f t="shared" si="0"/>
        <v>1308</v>
      </c>
      <c r="D25" s="50">
        <v>135</v>
      </c>
      <c r="E25" s="50" t="s">
        <v>64</v>
      </c>
      <c r="F25" s="45">
        <f t="shared" si="1"/>
        <v>1173</v>
      </c>
      <c r="G25" s="50" t="s">
        <v>73</v>
      </c>
      <c r="I25" s="43">
        <v>45849</v>
      </c>
      <c r="J25" s="42"/>
      <c r="K25" s="42">
        <f t="shared" si="2"/>
        <v>14</v>
      </c>
      <c r="L25" s="50">
        <v>1</v>
      </c>
      <c r="M25" s="50" t="s">
        <v>64</v>
      </c>
      <c r="N25" s="49">
        <f t="shared" si="3"/>
        <v>13</v>
      </c>
      <c r="O25" s="50" t="s">
        <v>73</v>
      </c>
    </row>
    <row r="26" spans="1:15" ht="18" x14ac:dyDescent="0.35">
      <c r="A26" s="43">
        <v>45849</v>
      </c>
      <c r="B26" s="42"/>
      <c r="C26" s="50">
        <f t="shared" si="0"/>
        <v>1173</v>
      </c>
      <c r="D26" s="50">
        <v>187</v>
      </c>
      <c r="E26" s="50" t="s">
        <v>67</v>
      </c>
      <c r="F26" s="45">
        <f t="shared" si="1"/>
        <v>986</v>
      </c>
      <c r="G26" s="50" t="s">
        <v>73</v>
      </c>
      <c r="I26" s="43">
        <v>45849</v>
      </c>
      <c r="J26" s="42"/>
      <c r="K26" s="42">
        <f t="shared" si="2"/>
        <v>13</v>
      </c>
      <c r="L26" s="50">
        <v>2</v>
      </c>
      <c r="M26" s="50" t="s">
        <v>67</v>
      </c>
      <c r="N26" s="49">
        <f t="shared" si="3"/>
        <v>11</v>
      </c>
      <c r="O26" s="50" t="s">
        <v>73</v>
      </c>
    </row>
    <row r="27" spans="1:15" ht="18" x14ac:dyDescent="0.35">
      <c r="A27" s="43">
        <v>45849</v>
      </c>
      <c r="B27" s="42"/>
      <c r="C27" s="50">
        <f t="shared" si="0"/>
        <v>986</v>
      </c>
      <c r="D27" s="50">
        <v>65</v>
      </c>
      <c r="E27" s="50" t="s">
        <v>50</v>
      </c>
      <c r="F27" s="45">
        <f t="shared" si="1"/>
        <v>921</v>
      </c>
      <c r="G27" s="50" t="s">
        <v>73</v>
      </c>
      <c r="I27" s="43">
        <v>45849</v>
      </c>
      <c r="J27" s="42"/>
      <c r="K27" s="42">
        <f t="shared" si="2"/>
        <v>11</v>
      </c>
      <c r="L27" s="50">
        <v>1</v>
      </c>
      <c r="M27" s="50" t="s">
        <v>50</v>
      </c>
      <c r="N27" s="49">
        <f t="shared" si="3"/>
        <v>10</v>
      </c>
      <c r="O27" s="50" t="s">
        <v>73</v>
      </c>
    </row>
    <row r="28" spans="1:15" ht="18" x14ac:dyDescent="0.35">
      <c r="A28" s="42"/>
      <c r="B28" s="42"/>
      <c r="C28" s="50">
        <f t="shared" si="0"/>
        <v>921</v>
      </c>
      <c r="D28" s="50">
        <v>187</v>
      </c>
      <c r="E28" s="50" t="s">
        <v>61</v>
      </c>
      <c r="F28" s="45">
        <f t="shared" si="1"/>
        <v>734</v>
      </c>
      <c r="G28" s="50" t="s">
        <v>73</v>
      </c>
      <c r="I28" s="42"/>
      <c r="J28" s="42"/>
      <c r="K28" s="42">
        <f t="shared" si="2"/>
        <v>10</v>
      </c>
      <c r="L28" s="50">
        <v>2</v>
      </c>
      <c r="M28" s="50" t="s">
        <v>61</v>
      </c>
      <c r="N28" s="49">
        <f t="shared" si="3"/>
        <v>8</v>
      </c>
      <c r="O28" s="50" t="s">
        <v>73</v>
      </c>
    </row>
    <row r="29" spans="1:15" ht="18" x14ac:dyDescent="0.35">
      <c r="A29" s="42"/>
      <c r="B29" s="42"/>
      <c r="C29" s="50">
        <f t="shared" si="0"/>
        <v>734</v>
      </c>
      <c r="D29" s="50">
        <v>185</v>
      </c>
      <c r="E29" s="50" t="s">
        <v>38</v>
      </c>
      <c r="F29" s="45">
        <f t="shared" si="1"/>
        <v>549</v>
      </c>
      <c r="G29" s="50" t="s">
        <v>73</v>
      </c>
      <c r="I29" s="42"/>
      <c r="J29" s="42"/>
      <c r="K29" s="42">
        <f t="shared" si="2"/>
        <v>8</v>
      </c>
      <c r="L29" s="50">
        <v>1</v>
      </c>
      <c r="M29" s="50" t="s">
        <v>38</v>
      </c>
      <c r="N29" s="49">
        <f t="shared" si="3"/>
        <v>7</v>
      </c>
      <c r="O29" s="50" t="s">
        <v>73</v>
      </c>
    </row>
    <row r="30" spans="1:15" ht="18" x14ac:dyDescent="0.35">
      <c r="A30" s="43"/>
      <c r="B30" s="42"/>
      <c r="C30" s="50">
        <f t="shared" si="0"/>
        <v>549</v>
      </c>
      <c r="D30" s="50">
        <v>76</v>
      </c>
      <c r="E30" s="50" t="s">
        <v>39</v>
      </c>
      <c r="F30" s="45">
        <f t="shared" si="1"/>
        <v>473</v>
      </c>
      <c r="G30" s="50" t="s">
        <v>73</v>
      </c>
      <c r="I30" s="43"/>
      <c r="J30" s="42"/>
      <c r="K30" s="42">
        <f t="shared" si="2"/>
        <v>7</v>
      </c>
      <c r="L30" s="50">
        <v>1</v>
      </c>
      <c r="M30" s="50" t="s">
        <v>39</v>
      </c>
      <c r="N30" s="49">
        <f t="shared" si="3"/>
        <v>6</v>
      </c>
      <c r="O30" s="50" t="s">
        <v>73</v>
      </c>
    </row>
    <row r="31" spans="1:15" ht="18" x14ac:dyDescent="0.35">
      <c r="A31" s="42"/>
      <c r="B31" s="42"/>
      <c r="C31" s="50">
        <f t="shared" si="0"/>
        <v>473</v>
      </c>
      <c r="D31" s="50">
        <v>95</v>
      </c>
      <c r="E31" s="50" t="s">
        <v>57</v>
      </c>
      <c r="F31" s="45">
        <f t="shared" si="1"/>
        <v>378</v>
      </c>
      <c r="G31" s="50" t="s">
        <v>73</v>
      </c>
      <c r="I31" s="42"/>
      <c r="J31" s="42"/>
      <c r="K31" s="42">
        <f t="shared" si="2"/>
        <v>6</v>
      </c>
      <c r="L31" s="50">
        <v>1</v>
      </c>
      <c r="M31" s="50" t="s">
        <v>57</v>
      </c>
      <c r="N31" s="49">
        <f t="shared" si="3"/>
        <v>5</v>
      </c>
      <c r="O31" s="50" t="s">
        <v>73</v>
      </c>
    </row>
    <row r="32" spans="1:15" ht="18" x14ac:dyDescent="0.35">
      <c r="A32" s="42"/>
      <c r="B32" s="42"/>
      <c r="C32" s="50">
        <f>F31</f>
        <v>378</v>
      </c>
      <c r="D32" s="50">
        <v>42</v>
      </c>
      <c r="E32" s="50" t="s">
        <v>55</v>
      </c>
      <c r="F32" s="45">
        <f t="shared" si="1"/>
        <v>336</v>
      </c>
      <c r="G32" s="50" t="s">
        <v>73</v>
      </c>
      <c r="I32" s="42"/>
      <c r="J32" s="42"/>
      <c r="K32" s="42">
        <f>N31</f>
        <v>5</v>
      </c>
      <c r="L32" s="50">
        <v>1</v>
      </c>
      <c r="M32" s="50" t="s">
        <v>55</v>
      </c>
      <c r="N32" s="49">
        <f t="shared" si="3"/>
        <v>4</v>
      </c>
      <c r="O32" s="50" t="s">
        <v>73</v>
      </c>
    </row>
    <row r="33" spans="1:15" ht="18" x14ac:dyDescent="0.35">
      <c r="A33" s="42"/>
      <c r="B33" s="42"/>
      <c r="C33" s="50">
        <f t="shared" si="0"/>
        <v>336</v>
      </c>
      <c r="D33" s="50">
        <v>221</v>
      </c>
      <c r="E33" s="50" t="s">
        <v>46</v>
      </c>
      <c r="F33" s="45">
        <f t="shared" si="1"/>
        <v>115</v>
      </c>
      <c r="G33" s="50" t="s">
        <v>73</v>
      </c>
      <c r="I33" s="42"/>
      <c r="J33" s="42"/>
      <c r="K33" s="42">
        <f t="shared" ref="K33:K35" si="4">N32</f>
        <v>4</v>
      </c>
      <c r="L33" s="50">
        <v>2</v>
      </c>
      <c r="M33" s="50" t="s">
        <v>46</v>
      </c>
      <c r="N33" s="49">
        <f t="shared" si="3"/>
        <v>2</v>
      </c>
      <c r="O33" s="50" t="s">
        <v>73</v>
      </c>
    </row>
    <row r="34" spans="1:15" ht="18" x14ac:dyDescent="0.35">
      <c r="A34" s="42"/>
      <c r="B34" s="42"/>
      <c r="C34" s="50">
        <f t="shared" si="0"/>
        <v>115</v>
      </c>
      <c r="D34" s="50">
        <v>50</v>
      </c>
      <c r="E34" s="50" t="s">
        <v>58</v>
      </c>
      <c r="F34" s="45">
        <f t="shared" si="1"/>
        <v>65</v>
      </c>
      <c r="G34" s="50" t="s">
        <v>73</v>
      </c>
      <c r="I34" s="42"/>
      <c r="J34" s="42"/>
      <c r="K34" s="42">
        <f t="shared" si="4"/>
        <v>2</v>
      </c>
      <c r="L34" s="50">
        <v>1</v>
      </c>
      <c r="M34" s="50" t="s">
        <v>58</v>
      </c>
      <c r="N34" s="49">
        <f t="shared" si="3"/>
        <v>1</v>
      </c>
      <c r="O34" s="50" t="s">
        <v>73</v>
      </c>
    </row>
    <row r="35" spans="1:15" ht="18" x14ac:dyDescent="0.35">
      <c r="A35" s="42"/>
      <c r="B35" s="42"/>
      <c r="C35" s="50">
        <f t="shared" si="0"/>
        <v>65</v>
      </c>
      <c r="D35" s="50">
        <v>65</v>
      </c>
      <c r="E35" s="50" t="s">
        <v>65</v>
      </c>
      <c r="F35" s="45">
        <f t="shared" si="1"/>
        <v>0</v>
      </c>
      <c r="G35" s="50" t="s">
        <v>73</v>
      </c>
      <c r="I35" s="42"/>
      <c r="J35" s="42"/>
      <c r="K35" s="42">
        <f t="shared" si="4"/>
        <v>1</v>
      </c>
      <c r="L35" s="50">
        <v>1</v>
      </c>
      <c r="M35" s="50" t="s">
        <v>65</v>
      </c>
      <c r="N35" s="49">
        <f t="shared" si="3"/>
        <v>0</v>
      </c>
      <c r="O35" s="50" t="s">
        <v>73</v>
      </c>
    </row>
    <row r="36" spans="1:15" ht="18" x14ac:dyDescent="0.35">
      <c r="A36" s="42"/>
      <c r="B36" s="42"/>
      <c r="C36" s="50"/>
      <c r="D36" s="42"/>
      <c r="E36" s="50"/>
      <c r="F36" s="42"/>
      <c r="G36" s="50"/>
      <c r="I36" s="42"/>
      <c r="J36" s="42"/>
      <c r="K36" s="42"/>
      <c r="L36" s="42"/>
      <c r="M36" s="50"/>
      <c r="N36" s="50"/>
      <c r="O36" s="42"/>
    </row>
    <row r="37" spans="1:15" ht="15.6" x14ac:dyDescent="0.3">
      <c r="A37" s="41"/>
      <c r="B37" s="41"/>
      <c r="C37" s="56"/>
      <c r="I37" s="41"/>
      <c r="J37" s="41"/>
      <c r="K37" s="41"/>
    </row>
    <row r="38" spans="1:15" ht="15.6" x14ac:dyDescent="0.3">
      <c r="A38" s="41"/>
      <c r="B38" s="41"/>
      <c r="I38" s="41"/>
      <c r="J38" s="41"/>
    </row>
    <row r="39" spans="1:15" ht="15.6" x14ac:dyDescent="0.3">
      <c r="A39" s="41"/>
      <c r="B39" s="41"/>
      <c r="I39" s="41"/>
      <c r="J39" s="41"/>
    </row>
  </sheetData>
  <mergeCells count="12">
    <mergeCell ref="L11:M11"/>
    <mergeCell ref="O11:O12"/>
    <mergeCell ref="A4:G4"/>
    <mergeCell ref="I4:O4"/>
    <mergeCell ref="A5:G5"/>
    <mergeCell ref="I5:O5"/>
    <mergeCell ref="A11:A12"/>
    <mergeCell ref="B11:B12"/>
    <mergeCell ref="D11:E11"/>
    <mergeCell ref="G11:G12"/>
    <mergeCell ref="I11:I12"/>
    <mergeCell ref="J11:J12"/>
  </mergeCells>
  <phoneticPr fontId="10" type="noConversion"/>
  <pageMargins left="0.52" right="0.27559055118110237" top="0.94488188976377963" bottom="0.74803149606299213" header="0.31496062992125984" footer="0.31496062992125984"/>
  <pageSetup paperSize="9" scale="70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B43D-B3CB-4540-91C8-FFFBF42F48B9}">
  <sheetPr>
    <tabColor rgb="FF00B050"/>
  </sheetPr>
  <dimension ref="A1:W40"/>
  <sheetViews>
    <sheetView topLeftCell="A17" workbookViewId="0">
      <selection activeCell="E13" sqref="E13:E36"/>
    </sheetView>
  </sheetViews>
  <sheetFormatPr defaultRowHeight="14.4" x14ac:dyDescent="0.3"/>
  <cols>
    <col min="1" max="1" width="12.33203125" customWidth="1"/>
    <col min="2" max="2" width="22.109375" customWidth="1"/>
    <col min="3" max="3" width="13" style="2" customWidth="1"/>
    <col min="4" max="4" width="13" customWidth="1"/>
    <col min="5" max="5" width="25.6640625" style="2" customWidth="1"/>
    <col min="6" max="6" width="17.44140625" customWidth="1"/>
    <col min="7" max="7" width="25.5546875" style="2" customWidth="1"/>
    <col min="9" max="9" width="12.33203125" customWidth="1"/>
    <col min="10" max="10" width="22.109375" customWidth="1"/>
    <col min="11" max="11" width="13" style="2" customWidth="1"/>
    <col min="12" max="12" width="13" customWidth="1"/>
    <col min="13" max="13" width="25.6640625" style="2" customWidth="1"/>
    <col min="14" max="14" width="17.44140625" customWidth="1"/>
    <col min="15" max="15" width="25.5546875" style="2" customWidth="1"/>
    <col min="17" max="17" width="12.33203125" customWidth="1"/>
    <col min="18" max="18" width="22.109375" customWidth="1"/>
    <col min="19" max="19" width="13" style="2" customWidth="1"/>
    <col min="20" max="20" width="13" customWidth="1"/>
    <col min="21" max="21" width="25.6640625" style="2" customWidth="1"/>
    <col min="22" max="22" width="17.44140625" customWidth="1"/>
    <col min="23" max="23" width="25.5546875" style="2" customWidth="1"/>
  </cols>
  <sheetData>
    <row r="1" spans="1:23" ht="42" x14ac:dyDescent="0.3">
      <c r="G1" s="62" t="s">
        <v>0</v>
      </c>
      <c r="O1" s="62" t="s">
        <v>0</v>
      </c>
      <c r="W1" s="62" t="s">
        <v>0</v>
      </c>
    </row>
    <row r="2" spans="1:23" ht="21" x14ac:dyDescent="0.3">
      <c r="G2" s="62"/>
      <c r="O2" s="62"/>
      <c r="W2" s="62"/>
    </row>
    <row r="4" spans="1:23" ht="17.399999999999999" x14ac:dyDescent="0.3">
      <c r="A4" s="102" t="s">
        <v>1</v>
      </c>
      <c r="B4" s="102"/>
      <c r="C4" s="102"/>
      <c r="D4" s="102"/>
      <c r="E4" s="102"/>
      <c r="F4" s="102"/>
      <c r="G4" s="102"/>
      <c r="I4" s="102" t="s">
        <v>1</v>
      </c>
      <c r="J4" s="102"/>
      <c r="K4" s="102"/>
      <c r="L4" s="102"/>
      <c r="M4" s="102"/>
      <c r="N4" s="102"/>
      <c r="O4" s="102"/>
      <c r="Q4" s="102" t="s">
        <v>1</v>
      </c>
      <c r="R4" s="102"/>
      <c r="S4" s="102"/>
      <c r="T4" s="102"/>
      <c r="U4" s="102"/>
      <c r="V4" s="102"/>
      <c r="W4" s="102"/>
    </row>
    <row r="5" spans="1:23" x14ac:dyDescent="0.3">
      <c r="A5" s="103"/>
      <c r="B5" s="103"/>
      <c r="C5" s="103"/>
      <c r="D5" s="103"/>
      <c r="E5" s="103"/>
      <c r="F5" s="103"/>
      <c r="G5" s="103"/>
      <c r="I5" s="103"/>
      <c r="J5" s="103"/>
      <c r="K5" s="103"/>
      <c r="L5" s="103"/>
      <c r="M5" s="103"/>
      <c r="N5" s="103"/>
      <c r="O5" s="103"/>
      <c r="Q5" s="103"/>
      <c r="R5" s="103"/>
      <c r="S5" s="103"/>
      <c r="T5" s="103"/>
      <c r="U5" s="103"/>
      <c r="V5" s="103"/>
      <c r="W5" s="103"/>
    </row>
    <row r="6" spans="1:23" ht="15.6" x14ac:dyDescent="0.3">
      <c r="A6" s="3" t="s">
        <v>20</v>
      </c>
      <c r="C6" s="4"/>
      <c r="D6" s="4"/>
      <c r="E6" s="4"/>
      <c r="F6" s="3" t="s">
        <v>2</v>
      </c>
      <c r="G6" s="4"/>
      <c r="I6" s="3" t="s">
        <v>20</v>
      </c>
      <c r="K6" s="4"/>
      <c r="L6" s="4"/>
      <c r="M6" s="4"/>
      <c r="N6" s="3" t="s">
        <v>2</v>
      </c>
      <c r="O6" s="4"/>
      <c r="Q6" s="3" t="s">
        <v>20</v>
      </c>
      <c r="S6" s="4"/>
      <c r="T6" s="4"/>
      <c r="U6" s="4"/>
      <c r="V6" s="3" t="s">
        <v>2</v>
      </c>
      <c r="W6" s="4"/>
    </row>
    <row r="7" spans="1:23" ht="15" thickBot="1" x14ac:dyDescent="0.35">
      <c r="A7" s="2"/>
      <c r="B7" s="2"/>
      <c r="D7" s="2"/>
      <c r="F7" s="2"/>
      <c r="I7" s="2"/>
      <c r="J7" s="2"/>
      <c r="L7" s="2"/>
      <c r="N7" s="2"/>
      <c r="Q7" s="2"/>
      <c r="R7" s="2"/>
      <c r="T7" s="2"/>
      <c r="V7" s="2"/>
    </row>
    <row r="8" spans="1:23" ht="18" x14ac:dyDescent="0.35">
      <c r="A8" s="5" t="s">
        <v>3</v>
      </c>
      <c r="B8" s="6" t="s">
        <v>21</v>
      </c>
      <c r="C8" s="52"/>
      <c r="D8" s="7"/>
      <c r="E8" s="63"/>
      <c r="F8" s="9" t="s">
        <v>4</v>
      </c>
      <c r="G8" s="63" t="s">
        <v>86</v>
      </c>
      <c r="I8" s="5" t="s">
        <v>3</v>
      </c>
      <c r="J8" s="6" t="s">
        <v>21</v>
      </c>
      <c r="K8" s="52"/>
      <c r="L8" s="7"/>
      <c r="M8" s="63"/>
      <c r="N8" s="9" t="s">
        <v>4</v>
      </c>
      <c r="O8" s="63" t="s">
        <v>89</v>
      </c>
      <c r="Q8" s="5" t="s">
        <v>3</v>
      </c>
      <c r="R8" s="6" t="s">
        <v>21</v>
      </c>
      <c r="S8" s="52"/>
      <c r="T8" s="7"/>
      <c r="U8" s="63"/>
      <c r="V8" s="9" t="s">
        <v>4</v>
      </c>
      <c r="W8" s="63" t="s">
        <v>89</v>
      </c>
    </row>
    <row r="9" spans="1:23" ht="18" x14ac:dyDescent="0.35">
      <c r="A9" s="10" t="s">
        <v>5</v>
      </c>
      <c r="B9" s="11" t="s">
        <v>90</v>
      </c>
      <c r="C9" s="53"/>
      <c r="D9" s="12"/>
      <c r="E9" s="64"/>
      <c r="F9" s="14" t="s">
        <v>6</v>
      </c>
      <c r="G9" s="64"/>
      <c r="I9" s="10" t="s">
        <v>5</v>
      </c>
      <c r="J9" s="11" t="s">
        <v>91</v>
      </c>
      <c r="K9" s="53"/>
      <c r="L9" s="12"/>
      <c r="M9" s="64"/>
      <c r="N9" s="14" t="s">
        <v>6</v>
      </c>
      <c r="O9" s="64"/>
      <c r="Q9" s="10" t="s">
        <v>5</v>
      </c>
      <c r="R9" s="11" t="s">
        <v>92</v>
      </c>
      <c r="S9" s="53"/>
      <c r="T9" s="12"/>
      <c r="U9" s="64"/>
      <c r="V9" s="14" t="s">
        <v>6</v>
      </c>
      <c r="W9" s="64"/>
    </row>
    <row r="10" spans="1:23" ht="16.2" thickBot="1" x14ac:dyDescent="0.35">
      <c r="A10" s="15" t="s">
        <v>7</v>
      </c>
      <c r="B10" s="16"/>
      <c r="C10" s="54" t="s">
        <v>87</v>
      </c>
      <c r="D10" s="17"/>
      <c r="E10" s="69"/>
      <c r="F10" s="19"/>
      <c r="G10" s="65"/>
      <c r="I10" s="15" t="s">
        <v>7</v>
      </c>
      <c r="J10" s="16"/>
      <c r="K10" s="54" t="s">
        <v>87</v>
      </c>
      <c r="L10" s="17"/>
      <c r="M10" s="69"/>
      <c r="N10" s="19"/>
      <c r="O10" s="65"/>
      <c r="Q10" s="15" t="s">
        <v>7</v>
      </c>
      <c r="R10" s="16"/>
      <c r="S10" s="54" t="s">
        <v>87</v>
      </c>
      <c r="T10" s="17"/>
      <c r="U10" s="69"/>
      <c r="V10" s="19"/>
      <c r="W10" s="65"/>
    </row>
    <row r="11" spans="1:23" ht="16.8" thickBot="1" x14ac:dyDescent="0.35">
      <c r="A11" s="104" t="s">
        <v>9</v>
      </c>
      <c r="B11" s="104" t="s">
        <v>10</v>
      </c>
      <c r="C11" s="22" t="s">
        <v>11</v>
      </c>
      <c r="D11" s="106" t="s">
        <v>12</v>
      </c>
      <c r="E11" s="107"/>
      <c r="F11" s="23" t="s">
        <v>13</v>
      </c>
      <c r="G11" s="108" t="s">
        <v>14</v>
      </c>
      <c r="I11" s="104" t="s">
        <v>9</v>
      </c>
      <c r="J11" s="104" t="s">
        <v>10</v>
      </c>
      <c r="K11" s="22" t="s">
        <v>11</v>
      </c>
      <c r="L11" s="106" t="s">
        <v>12</v>
      </c>
      <c r="M11" s="107"/>
      <c r="N11" s="23" t="s">
        <v>13</v>
      </c>
      <c r="O11" s="108" t="s">
        <v>14</v>
      </c>
      <c r="Q11" s="104" t="s">
        <v>9</v>
      </c>
      <c r="R11" s="104" t="s">
        <v>10</v>
      </c>
      <c r="S11" s="22" t="s">
        <v>11</v>
      </c>
      <c r="T11" s="106" t="s">
        <v>12</v>
      </c>
      <c r="U11" s="107"/>
      <c r="V11" s="23" t="s">
        <v>13</v>
      </c>
      <c r="W11" s="108" t="s">
        <v>14</v>
      </c>
    </row>
    <row r="12" spans="1:23" ht="16.2" thickBot="1" x14ac:dyDescent="0.35">
      <c r="A12" s="105"/>
      <c r="B12" s="105"/>
      <c r="C12" s="25" t="s">
        <v>15</v>
      </c>
      <c r="D12" s="47" t="s">
        <v>15</v>
      </c>
      <c r="E12" s="27" t="s">
        <v>36</v>
      </c>
      <c r="F12" s="48" t="s">
        <v>15</v>
      </c>
      <c r="G12" s="109"/>
      <c r="I12" s="105"/>
      <c r="J12" s="105"/>
      <c r="K12" s="25" t="s">
        <v>15</v>
      </c>
      <c r="L12" s="47" t="s">
        <v>15</v>
      </c>
      <c r="M12" s="27" t="s">
        <v>36</v>
      </c>
      <c r="N12" s="48" t="s">
        <v>15</v>
      </c>
      <c r="O12" s="109"/>
      <c r="Q12" s="105"/>
      <c r="R12" s="105"/>
      <c r="S12" s="25" t="s">
        <v>15</v>
      </c>
      <c r="T12" s="47" t="s">
        <v>15</v>
      </c>
      <c r="U12" s="27" t="s">
        <v>36</v>
      </c>
      <c r="V12" s="48" t="s">
        <v>15</v>
      </c>
      <c r="W12" s="109"/>
    </row>
    <row r="13" spans="1:23" ht="18" x14ac:dyDescent="0.35">
      <c r="A13" s="44" t="s">
        <v>83</v>
      </c>
      <c r="B13" s="72" t="s">
        <v>84</v>
      </c>
      <c r="C13" s="55">
        <v>253</v>
      </c>
      <c r="D13" s="49">
        <v>23</v>
      </c>
      <c r="E13" s="55" t="s">
        <v>54</v>
      </c>
      <c r="F13" s="45">
        <f>C13-D13</f>
        <v>230</v>
      </c>
      <c r="G13" s="49" t="s">
        <v>73</v>
      </c>
      <c r="I13" s="44" t="s">
        <v>83</v>
      </c>
      <c r="J13" s="72" t="s">
        <v>84</v>
      </c>
      <c r="K13" s="55">
        <v>251</v>
      </c>
      <c r="L13" s="49">
        <v>25</v>
      </c>
      <c r="M13" s="55" t="s">
        <v>54</v>
      </c>
      <c r="N13" s="45">
        <f>K13-L13</f>
        <v>226</v>
      </c>
      <c r="O13" s="49" t="s">
        <v>73</v>
      </c>
      <c r="Q13" s="44" t="s">
        <v>83</v>
      </c>
      <c r="R13" s="72" t="s">
        <v>84</v>
      </c>
      <c r="S13" s="55">
        <v>251</v>
      </c>
      <c r="T13" s="49">
        <v>25</v>
      </c>
      <c r="U13" s="55" t="s">
        <v>54</v>
      </c>
      <c r="V13" s="45">
        <f>S13-T13</f>
        <v>226</v>
      </c>
      <c r="W13" s="49" t="s">
        <v>73</v>
      </c>
    </row>
    <row r="14" spans="1:23" ht="18" x14ac:dyDescent="0.35">
      <c r="A14" s="43">
        <v>45694</v>
      </c>
      <c r="B14" s="71" t="s">
        <v>85</v>
      </c>
      <c r="C14" s="50">
        <f>F13</f>
        <v>230</v>
      </c>
      <c r="D14" s="50">
        <v>6</v>
      </c>
      <c r="E14" s="50" t="s">
        <v>37</v>
      </c>
      <c r="F14" s="45">
        <f>C14-D14</f>
        <v>224</v>
      </c>
      <c r="G14" s="50" t="s">
        <v>73</v>
      </c>
      <c r="I14" s="43">
        <v>45694</v>
      </c>
      <c r="J14" s="71" t="s">
        <v>85</v>
      </c>
      <c r="K14" s="50">
        <f>N13</f>
        <v>226</v>
      </c>
      <c r="L14" s="50">
        <v>4</v>
      </c>
      <c r="M14" s="50" t="s">
        <v>37</v>
      </c>
      <c r="N14" s="45">
        <f>K14-L14</f>
        <v>222</v>
      </c>
      <c r="O14" s="50" t="s">
        <v>73</v>
      </c>
      <c r="Q14" s="43">
        <v>45694</v>
      </c>
      <c r="R14" s="71" t="s">
        <v>85</v>
      </c>
      <c r="S14" s="50">
        <f>V13</f>
        <v>226</v>
      </c>
      <c r="T14" s="50">
        <v>4</v>
      </c>
      <c r="U14" s="50" t="s">
        <v>37</v>
      </c>
      <c r="V14" s="45">
        <f>S14-T14</f>
        <v>222</v>
      </c>
      <c r="W14" s="50" t="s">
        <v>73</v>
      </c>
    </row>
    <row r="15" spans="1:23" ht="18" x14ac:dyDescent="0.35">
      <c r="A15" s="43">
        <v>45694</v>
      </c>
      <c r="B15" s="71"/>
      <c r="C15" s="50">
        <f>F14</f>
        <v>224</v>
      </c>
      <c r="D15" s="50">
        <v>13</v>
      </c>
      <c r="E15" s="50" t="s">
        <v>79</v>
      </c>
      <c r="F15" s="45">
        <f>C15-D15</f>
        <v>211</v>
      </c>
      <c r="G15" s="50" t="s">
        <v>73</v>
      </c>
      <c r="I15" s="43">
        <v>45694</v>
      </c>
      <c r="J15" s="71"/>
      <c r="K15" s="50">
        <f>N14</f>
        <v>222</v>
      </c>
      <c r="L15" s="50">
        <v>11</v>
      </c>
      <c r="M15" s="50" t="s">
        <v>79</v>
      </c>
      <c r="N15" s="45">
        <f>K15-L15</f>
        <v>211</v>
      </c>
      <c r="O15" s="50" t="s">
        <v>73</v>
      </c>
      <c r="Q15" s="43">
        <v>45694</v>
      </c>
      <c r="R15" s="71"/>
      <c r="S15" s="50">
        <f>V14</f>
        <v>222</v>
      </c>
      <c r="T15" s="50">
        <v>11</v>
      </c>
      <c r="U15" s="50" t="s">
        <v>79</v>
      </c>
      <c r="V15" s="45">
        <f>S15-T15</f>
        <v>211</v>
      </c>
      <c r="W15" s="50" t="s">
        <v>73</v>
      </c>
    </row>
    <row r="16" spans="1:23" ht="18" x14ac:dyDescent="0.35">
      <c r="A16" s="43">
        <v>45694</v>
      </c>
      <c r="B16" s="42"/>
      <c r="C16" s="50">
        <f t="shared" ref="C16:C35" si="0">F15</f>
        <v>211</v>
      </c>
      <c r="D16" s="50">
        <v>6</v>
      </c>
      <c r="E16" s="50" t="s">
        <v>39</v>
      </c>
      <c r="F16" s="45">
        <f t="shared" ref="F16:F35" si="1">C16-D16</f>
        <v>205</v>
      </c>
      <c r="G16" s="50" t="s">
        <v>73</v>
      </c>
      <c r="I16" s="43">
        <v>45694</v>
      </c>
      <c r="J16" s="42"/>
      <c r="K16" s="50">
        <f t="shared" ref="K16:K24" si="2">N15</f>
        <v>211</v>
      </c>
      <c r="L16" s="50">
        <v>5</v>
      </c>
      <c r="M16" s="50" t="s">
        <v>39</v>
      </c>
      <c r="N16" s="45">
        <f t="shared" ref="N16:N36" si="3">K16-L16</f>
        <v>206</v>
      </c>
      <c r="O16" s="50" t="s">
        <v>73</v>
      </c>
      <c r="Q16" s="43">
        <v>45694</v>
      </c>
      <c r="R16" s="42"/>
      <c r="S16" s="50">
        <f t="shared" ref="S16:S24" si="4">V15</f>
        <v>211</v>
      </c>
      <c r="T16" s="50">
        <v>5</v>
      </c>
      <c r="U16" s="50" t="s">
        <v>39</v>
      </c>
      <c r="V16" s="45">
        <f t="shared" ref="V16:V36" si="5">S16-T16</f>
        <v>206</v>
      </c>
      <c r="W16" s="50" t="s">
        <v>73</v>
      </c>
    </row>
    <row r="17" spans="1:23" ht="18" x14ac:dyDescent="0.35">
      <c r="A17" s="43">
        <v>45694</v>
      </c>
      <c r="B17" s="42"/>
      <c r="C17" s="50">
        <f t="shared" si="0"/>
        <v>205</v>
      </c>
      <c r="D17" s="50">
        <v>15</v>
      </c>
      <c r="E17" s="50" t="s">
        <v>40</v>
      </c>
      <c r="F17" s="45">
        <f t="shared" si="1"/>
        <v>190</v>
      </c>
      <c r="G17" s="50" t="s">
        <v>73</v>
      </c>
      <c r="I17" s="43">
        <v>45694</v>
      </c>
      <c r="J17" s="42"/>
      <c r="K17" s="50">
        <f t="shared" si="2"/>
        <v>206</v>
      </c>
      <c r="L17" s="50">
        <v>17</v>
      </c>
      <c r="M17" s="50" t="s">
        <v>40</v>
      </c>
      <c r="N17" s="45">
        <f t="shared" si="3"/>
        <v>189</v>
      </c>
      <c r="O17" s="50" t="s">
        <v>73</v>
      </c>
      <c r="Q17" s="43">
        <v>45694</v>
      </c>
      <c r="R17" s="42"/>
      <c r="S17" s="50">
        <f t="shared" si="4"/>
        <v>206</v>
      </c>
      <c r="T17" s="50">
        <v>17</v>
      </c>
      <c r="U17" s="50" t="s">
        <v>40</v>
      </c>
      <c r="V17" s="45">
        <f t="shared" si="5"/>
        <v>189</v>
      </c>
      <c r="W17" s="50" t="s">
        <v>73</v>
      </c>
    </row>
    <row r="18" spans="1:23" ht="18" x14ac:dyDescent="0.35">
      <c r="A18" s="43">
        <v>45694</v>
      </c>
      <c r="B18" s="42"/>
      <c r="C18" s="50">
        <f t="shared" si="0"/>
        <v>190</v>
      </c>
      <c r="D18" s="50">
        <v>3</v>
      </c>
      <c r="E18" s="50" t="s">
        <v>55</v>
      </c>
      <c r="F18" s="45">
        <f t="shared" si="1"/>
        <v>187</v>
      </c>
      <c r="G18" s="50" t="s">
        <v>73</v>
      </c>
      <c r="I18" s="43">
        <v>45694</v>
      </c>
      <c r="J18" s="42"/>
      <c r="K18" s="50">
        <f t="shared" si="2"/>
        <v>189</v>
      </c>
      <c r="L18" s="50">
        <v>3</v>
      </c>
      <c r="M18" s="50" t="s">
        <v>55</v>
      </c>
      <c r="N18" s="45">
        <f t="shared" si="3"/>
        <v>186</v>
      </c>
      <c r="O18" s="50" t="s">
        <v>73</v>
      </c>
      <c r="Q18" s="43">
        <v>45694</v>
      </c>
      <c r="R18" s="42"/>
      <c r="S18" s="50">
        <f t="shared" si="4"/>
        <v>189</v>
      </c>
      <c r="T18" s="50">
        <v>3</v>
      </c>
      <c r="U18" s="50" t="s">
        <v>55</v>
      </c>
      <c r="V18" s="45">
        <f t="shared" si="5"/>
        <v>186</v>
      </c>
      <c r="W18" s="50" t="s">
        <v>73</v>
      </c>
    </row>
    <row r="19" spans="1:23" ht="18" x14ac:dyDescent="0.35">
      <c r="A19" s="43">
        <v>45694</v>
      </c>
      <c r="B19" s="42"/>
      <c r="C19" s="50">
        <f t="shared" si="0"/>
        <v>187</v>
      </c>
      <c r="D19" s="50">
        <v>20</v>
      </c>
      <c r="E19" s="50" t="s">
        <v>56</v>
      </c>
      <c r="F19" s="45">
        <f t="shared" si="1"/>
        <v>167</v>
      </c>
      <c r="G19" s="50" t="s">
        <v>73</v>
      </c>
      <c r="I19" s="43">
        <v>45694</v>
      </c>
      <c r="J19" s="42"/>
      <c r="K19" s="50">
        <f t="shared" si="2"/>
        <v>186</v>
      </c>
      <c r="L19" s="50">
        <v>18</v>
      </c>
      <c r="M19" s="50" t="s">
        <v>56</v>
      </c>
      <c r="N19" s="45">
        <f t="shared" si="3"/>
        <v>168</v>
      </c>
      <c r="O19" s="50" t="s">
        <v>73</v>
      </c>
      <c r="Q19" s="43">
        <v>45694</v>
      </c>
      <c r="R19" s="42"/>
      <c r="S19" s="50">
        <f t="shared" si="4"/>
        <v>186</v>
      </c>
      <c r="T19" s="50">
        <v>18</v>
      </c>
      <c r="U19" s="50" t="s">
        <v>56</v>
      </c>
      <c r="V19" s="45">
        <f t="shared" si="5"/>
        <v>168</v>
      </c>
      <c r="W19" s="50" t="s">
        <v>73</v>
      </c>
    </row>
    <row r="20" spans="1:23" ht="18" x14ac:dyDescent="0.35">
      <c r="A20" s="43">
        <v>45694</v>
      </c>
      <c r="B20" s="42"/>
      <c r="C20" s="50">
        <f t="shared" si="0"/>
        <v>167</v>
      </c>
      <c r="D20" s="50">
        <v>10</v>
      </c>
      <c r="E20" s="50" t="s">
        <v>57</v>
      </c>
      <c r="F20" s="45">
        <f t="shared" si="1"/>
        <v>157</v>
      </c>
      <c r="G20" s="50" t="s">
        <v>73</v>
      </c>
      <c r="I20" s="43">
        <v>45694</v>
      </c>
      <c r="J20" s="42"/>
      <c r="K20" s="50">
        <f t="shared" si="2"/>
        <v>168</v>
      </c>
      <c r="L20" s="50">
        <v>8</v>
      </c>
      <c r="M20" s="50" t="s">
        <v>57</v>
      </c>
      <c r="N20" s="45">
        <f t="shared" si="3"/>
        <v>160</v>
      </c>
      <c r="O20" s="50" t="s">
        <v>73</v>
      </c>
      <c r="Q20" s="43">
        <v>45694</v>
      </c>
      <c r="R20" s="42"/>
      <c r="S20" s="50">
        <f t="shared" si="4"/>
        <v>168</v>
      </c>
      <c r="T20" s="50">
        <v>8</v>
      </c>
      <c r="U20" s="50" t="s">
        <v>57</v>
      </c>
      <c r="V20" s="45">
        <f t="shared" si="5"/>
        <v>160</v>
      </c>
      <c r="W20" s="50" t="s">
        <v>73</v>
      </c>
    </row>
    <row r="21" spans="1:23" ht="18" x14ac:dyDescent="0.35">
      <c r="A21" s="43">
        <v>45694</v>
      </c>
      <c r="B21" s="42"/>
      <c r="C21" s="50">
        <f t="shared" si="0"/>
        <v>157</v>
      </c>
      <c r="D21" s="50">
        <v>2</v>
      </c>
      <c r="E21" s="50" t="s">
        <v>45</v>
      </c>
      <c r="F21" s="45">
        <f t="shared" si="1"/>
        <v>155</v>
      </c>
      <c r="G21" s="50" t="s">
        <v>73</v>
      </c>
      <c r="I21" s="43">
        <v>45694</v>
      </c>
      <c r="J21" s="42"/>
      <c r="K21" s="50">
        <f t="shared" si="2"/>
        <v>160</v>
      </c>
      <c r="L21" s="50">
        <v>2</v>
      </c>
      <c r="M21" s="50" t="s">
        <v>45</v>
      </c>
      <c r="N21" s="45">
        <f t="shared" si="3"/>
        <v>158</v>
      </c>
      <c r="O21" s="50" t="s">
        <v>73</v>
      </c>
      <c r="Q21" s="43">
        <v>45694</v>
      </c>
      <c r="R21" s="42"/>
      <c r="S21" s="50">
        <f t="shared" si="4"/>
        <v>160</v>
      </c>
      <c r="T21" s="50">
        <v>2</v>
      </c>
      <c r="U21" s="50" t="s">
        <v>45</v>
      </c>
      <c r="V21" s="45">
        <f t="shared" si="5"/>
        <v>158</v>
      </c>
      <c r="W21" s="50" t="s">
        <v>73</v>
      </c>
    </row>
    <row r="22" spans="1:23" ht="18" x14ac:dyDescent="0.35">
      <c r="A22" s="43">
        <v>45694</v>
      </c>
      <c r="B22" s="42"/>
      <c r="C22" s="50">
        <f t="shared" si="0"/>
        <v>155</v>
      </c>
      <c r="D22" s="50">
        <v>17</v>
      </c>
      <c r="E22" s="50" t="s">
        <v>46</v>
      </c>
      <c r="F22" s="45">
        <f t="shared" si="1"/>
        <v>138</v>
      </c>
      <c r="G22" s="50" t="s">
        <v>73</v>
      </c>
      <c r="I22" s="43">
        <v>45694</v>
      </c>
      <c r="J22" s="42"/>
      <c r="K22" s="50">
        <f t="shared" si="2"/>
        <v>158</v>
      </c>
      <c r="L22" s="50">
        <v>18</v>
      </c>
      <c r="M22" s="50" t="s">
        <v>46</v>
      </c>
      <c r="N22" s="45">
        <f t="shared" si="3"/>
        <v>140</v>
      </c>
      <c r="O22" s="50" t="s">
        <v>73</v>
      </c>
      <c r="Q22" s="43">
        <v>45694</v>
      </c>
      <c r="R22" s="42"/>
      <c r="S22" s="50">
        <f t="shared" si="4"/>
        <v>158</v>
      </c>
      <c r="T22" s="50">
        <v>18</v>
      </c>
      <c r="U22" s="50" t="s">
        <v>46</v>
      </c>
      <c r="V22" s="45">
        <f t="shared" si="5"/>
        <v>140</v>
      </c>
      <c r="W22" s="50" t="s">
        <v>73</v>
      </c>
    </row>
    <row r="23" spans="1:23" ht="18" x14ac:dyDescent="0.35">
      <c r="A23" s="43">
        <v>45694</v>
      </c>
      <c r="B23" s="42"/>
      <c r="C23" s="50">
        <f t="shared" si="0"/>
        <v>138</v>
      </c>
      <c r="D23" s="50">
        <v>6</v>
      </c>
      <c r="E23" s="50" t="s">
        <v>58</v>
      </c>
      <c r="F23" s="45">
        <f t="shared" si="1"/>
        <v>132</v>
      </c>
      <c r="G23" s="50" t="s">
        <v>73</v>
      </c>
      <c r="I23" s="43">
        <v>45694</v>
      </c>
      <c r="J23" s="42"/>
      <c r="K23" s="50">
        <f t="shared" si="2"/>
        <v>140</v>
      </c>
      <c r="L23" s="50">
        <v>5</v>
      </c>
      <c r="M23" s="50" t="s">
        <v>58</v>
      </c>
      <c r="N23" s="45">
        <f t="shared" si="3"/>
        <v>135</v>
      </c>
      <c r="O23" s="50" t="s">
        <v>73</v>
      </c>
      <c r="Q23" s="43">
        <v>45694</v>
      </c>
      <c r="R23" s="42"/>
      <c r="S23" s="50">
        <f t="shared" si="4"/>
        <v>140</v>
      </c>
      <c r="T23" s="50">
        <v>5</v>
      </c>
      <c r="U23" s="50" t="s">
        <v>58</v>
      </c>
      <c r="V23" s="45">
        <f t="shared" si="5"/>
        <v>135</v>
      </c>
      <c r="W23" s="50" t="s">
        <v>73</v>
      </c>
    </row>
    <row r="24" spans="1:23" ht="18" x14ac:dyDescent="0.35">
      <c r="A24" s="43">
        <v>45694</v>
      </c>
      <c r="B24" s="42"/>
      <c r="C24" s="50">
        <f t="shared" si="0"/>
        <v>132</v>
      </c>
      <c r="D24" s="50">
        <v>17</v>
      </c>
      <c r="E24" s="50" t="s">
        <v>47</v>
      </c>
      <c r="F24" s="45">
        <f t="shared" si="1"/>
        <v>115</v>
      </c>
      <c r="G24" s="50" t="s">
        <v>73</v>
      </c>
      <c r="I24" s="43">
        <v>45694</v>
      </c>
      <c r="J24" s="42"/>
      <c r="K24" s="50">
        <f t="shared" si="2"/>
        <v>135</v>
      </c>
      <c r="L24" s="50">
        <v>15</v>
      </c>
      <c r="M24" s="50" t="s">
        <v>47</v>
      </c>
      <c r="N24" s="45">
        <f t="shared" si="3"/>
        <v>120</v>
      </c>
      <c r="O24" s="50" t="s">
        <v>73</v>
      </c>
      <c r="Q24" s="43">
        <v>45694</v>
      </c>
      <c r="R24" s="42"/>
      <c r="S24" s="50">
        <f t="shared" si="4"/>
        <v>135</v>
      </c>
      <c r="T24" s="50">
        <v>15</v>
      </c>
      <c r="U24" s="50" t="s">
        <v>47</v>
      </c>
      <c r="V24" s="45">
        <f t="shared" si="5"/>
        <v>120</v>
      </c>
      <c r="W24" s="50" t="s">
        <v>73</v>
      </c>
    </row>
    <row r="25" spans="1:23" ht="18" x14ac:dyDescent="0.35">
      <c r="A25" s="43">
        <v>45694</v>
      </c>
      <c r="B25" s="42"/>
      <c r="C25" s="50">
        <f>F24</f>
        <v>115</v>
      </c>
      <c r="D25" s="50">
        <v>11</v>
      </c>
      <c r="E25" s="50" t="s">
        <v>59</v>
      </c>
      <c r="F25" s="45">
        <f t="shared" si="1"/>
        <v>104</v>
      </c>
      <c r="G25" s="50" t="s">
        <v>73</v>
      </c>
      <c r="I25" s="43">
        <v>45694</v>
      </c>
      <c r="J25" s="42"/>
      <c r="K25" s="50">
        <f>N24</f>
        <v>120</v>
      </c>
      <c r="L25" s="50">
        <v>13</v>
      </c>
      <c r="M25" s="50" t="s">
        <v>59</v>
      </c>
      <c r="N25" s="45">
        <f t="shared" si="3"/>
        <v>107</v>
      </c>
      <c r="O25" s="50" t="s">
        <v>73</v>
      </c>
      <c r="Q25" s="43">
        <v>45694</v>
      </c>
      <c r="R25" s="42"/>
      <c r="S25" s="50">
        <f>V24</f>
        <v>120</v>
      </c>
      <c r="T25" s="50">
        <v>13</v>
      </c>
      <c r="U25" s="50" t="s">
        <v>59</v>
      </c>
      <c r="V25" s="45">
        <f t="shared" si="5"/>
        <v>107</v>
      </c>
      <c r="W25" s="50" t="s">
        <v>73</v>
      </c>
    </row>
    <row r="26" spans="1:23" ht="18" x14ac:dyDescent="0.35">
      <c r="A26" s="43">
        <v>45694</v>
      </c>
      <c r="B26" s="42"/>
      <c r="C26" s="50">
        <f t="shared" si="0"/>
        <v>104</v>
      </c>
      <c r="D26" s="50">
        <v>8</v>
      </c>
      <c r="E26" s="50" t="s">
        <v>60</v>
      </c>
      <c r="F26" s="45">
        <f t="shared" si="1"/>
        <v>96</v>
      </c>
      <c r="G26" s="50" t="s">
        <v>73</v>
      </c>
      <c r="I26" s="43">
        <v>45694</v>
      </c>
      <c r="J26" s="42"/>
      <c r="K26" s="50">
        <f t="shared" ref="K26:K33" si="6">N25</f>
        <v>107</v>
      </c>
      <c r="L26" s="50">
        <v>6</v>
      </c>
      <c r="M26" s="50" t="s">
        <v>60</v>
      </c>
      <c r="N26" s="45">
        <f t="shared" si="3"/>
        <v>101</v>
      </c>
      <c r="O26" s="50" t="s">
        <v>73</v>
      </c>
      <c r="Q26" s="43">
        <v>45694</v>
      </c>
      <c r="R26" s="42"/>
      <c r="S26" s="50">
        <f t="shared" ref="S26:S33" si="7">V25</f>
        <v>107</v>
      </c>
      <c r="T26" s="50">
        <v>6</v>
      </c>
      <c r="U26" s="50" t="s">
        <v>60</v>
      </c>
      <c r="V26" s="45">
        <f t="shared" si="5"/>
        <v>101</v>
      </c>
      <c r="W26" s="50" t="s">
        <v>73</v>
      </c>
    </row>
    <row r="27" spans="1:23" ht="18" x14ac:dyDescent="0.35">
      <c r="A27" s="43">
        <v>45694</v>
      </c>
      <c r="B27" s="42"/>
      <c r="C27" s="50">
        <f t="shared" si="0"/>
        <v>96</v>
      </c>
      <c r="D27" s="50">
        <v>16</v>
      </c>
      <c r="E27" s="50" t="s">
        <v>80</v>
      </c>
      <c r="F27" s="45">
        <f t="shared" si="1"/>
        <v>80</v>
      </c>
      <c r="G27" s="50" t="s">
        <v>73</v>
      </c>
      <c r="I27" s="43">
        <v>45694</v>
      </c>
      <c r="J27" s="42"/>
      <c r="K27" s="50">
        <f t="shared" si="6"/>
        <v>101</v>
      </c>
      <c r="L27" s="50">
        <v>16</v>
      </c>
      <c r="M27" s="50" t="s">
        <v>80</v>
      </c>
      <c r="N27" s="45">
        <f t="shared" si="3"/>
        <v>85</v>
      </c>
      <c r="O27" s="50" t="s">
        <v>73</v>
      </c>
      <c r="Q27" s="43">
        <v>45694</v>
      </c>
      <c r="R27" s="42"/>
      <c r="S27" s="50">
        <f t="shared" si="7"/>
        <v>101</v>
      </c>
      <c r="T27" s="50">
        <v>16</v>
      </c>
      <c r="U27" s="50" t="s">
        <v>80</v>
      </c>
      <c r="V27" s="45">
        <f t="shared" si="5"/>
        <v>85</v>
      </c>
      <c r="W27" s="50" t="s">
        <v>73</v>
      </c>
    </row>
    <row r="28" spans="1:23" ht="18" x14ac:dyDescent="0.35">
      <c r="A28" s="43">
        <v>45694</v>
      </c>
      <c r="B28" s="42"/>
      <c r="C28" s="50">
        <f t="shared" si="0"/>
        <v>80</v>
      </c>
      <c r="D28" s="50">
        <v>16</v>
      </c>
      <c r="E28" s="50" t="s">
        <v>62</v>
      </c>
      <c r="F28" s="45">
        <f t="shared" si="1"/>
        <v>64</v>
      </c>
      <c r="G28" s="50" t="s">
        <v>73</v>
      </c>
      <c r="I28" s="43">
        <v>45694</v>
      </c>
      <c r="J28" s="42"/>
      <c r="K28" s="50">
        <f t="shared" si="6"/>
        <v>85</v>
      </c>
      <c r="L28" s="50">
        <v>15</v>
      </c>
      <c r="M28" s="50" t="s">
        <v>62</v>
      </c>
      <c r="N28" s="45">
        <f t="shared" si="3"/>
        <v>70</v>
      </c>
      <c r="O28" s="50" t="s">
        <v>73</v>
      </c>
      <c r="Q28" s="43">
        <v>45694</v>
      </c>
      <c r="R28" s="42"/>
      <c r="S28" s="50">
        <f t="shared" si="7"/>
        <v>85</v>
      </c>
      <c r="T28" s="50">
        <v>15</v>
      </c>
      <c r="U28" s="50" t="s">
        <v>62</v>
      </c>
      <c r="V28" s="45">
        <f t="shared" si="5"/>
        <v>70</v>
      </c>
      <c r="W28" s="50" t="s">
        <v>73</v>
      </c>
    </row>
    <row r="29" spans="1:23" ht="18" x14ac:dyDescent="0.35">
      <c r="A29" s="43">
        <v>45694</v>
      </c>
      <c r="B29" s="42"/>
      <c r="C29" s="50">
        <f t="shared" si="0"/>
        <v>64</v>
      </c>
      <c r="D29" s="50">
        <v>4</v>
      </c>
      <c r="E29" s="50" t="s">
        <v>63</v>
      </c>
      <c r="F29" s="45">
        <f t="shared" si="1"/>
        <v>60</v>
      </c>
      <c r="G29" s="50" t="s">
        <v>73</v>
      </c>
      <c r="I29" s="43">
        <v>45694</v>
      </c>
      <c r="J29" s="42"/>
      <c r="K29" s="50">
        <f t="shared" si="6"/>
        <v>70</v>
      </c>
      <c r="L29" s="50">
        <v>6</v>
      </c>
      <c r="M29" s="50" t="s">
        <v>63</v>
      </c>
      <c r="N29" s="45">
        <f t="shared" si="3"/>
        <v>64</v>
      </c>
      <c r="O29" s="50" t="s">
        <v>73</v>
      </c>
      <c r="Q29" s="43">
        <v>45694</v>
      </c>
      <c r="R29" s="42"/>
      <c r="S29" s="50">
        <f t="shared" si="7"/>
        <v>70</v>
      </c>
      <c r="T29" s="50">
        <v>6</v>
      </c>
      <c r="U29" s="50" t="s">
        <v>63</v>
      </c>
      <c r="V29" s="45">
        <f t="shared" si="5"/>
        <v>64</v>
      </c>
      <c r="W29" s="50" t="s">
        <v>73</v>
      </c>
    </row>
    <row r="30" spans="1:23" ht="18" x14ac:dyDescent="0.35">
      <c r="A30" s="43">
        <v>45694</v>
      </c>
      <c r="B30" s="42"/>
      <c r="C30" s="50">
        <f t="shared" si="0"/>
        <v>60</v>
      </c>
      <c r="D30" s="50">
        <v>10</v>
      </c>
      <c r="E30" s="50" t="s">
        <v>64</v>
      </c>
      <c r="F30" s="45">
        <f t="shared" si="1"/>
        <v>50</v>
      </c>
      <c r="G30" s="50" t="s">
        <v>73</v>
      </c>
      <c r="I30" s="43">
        <v>45694</v>
      </c>
      <c r="J30" s="42"/>
      <c r="K30" s="50">
        <f t="shared" si="6"/>
        <v>64</v>
      </c>
      <c r="L30" s="50">
        <v>11</v>
      </c>
      <c r="M30" s="50" t="s">
        <v>64</v>
      </c>
      <c r="N30" s="45">
        <f t="shared" si="3"/>
        <v>53</v>
      </c>
      <c r="O30" s="50" t="s">
        <v>73</v>
      </c>
      <c r="Q30" s="43">
        <v>45694</v>
      </c>
      <c r="R30" s="42"/>
      <c r="S30" s="50">
        <f t="shared" si="7"/>
        <v>64</v>
      </c>
      <c r="T30" s="50">
        <v>11</v>
      </c>
      <c r="U30" s="50" t="s">
        <v>64</v>
      </c>
      <c r="V30" s="45">
        <f t="shared" si="5"/>
        <v>53</v>
      </c>
      <c r="W30" s="50" t="s">
        <v>73</v>
      </c>
    </row>
    <row r="31" spans="1:23" ht="18" x14ac:dyDescent="0.35">
      <c r="A31" s="43">
        <v>45694</v>
      </c>
      <c r="B31" s="42"/>
      <c r="C31" s="50">
        <f t="shared" si="0"/>
        <v>50</v>
      </c>
      <c r="D31" s="50">
        <v>5</v>
      </c>
      <c r="E31" s="50" t="s">
        <v>65</v>
      </c>
      <c r="F31" s="45">
        <f t="shared" si="1"/>
        <v>45</v>
      </c>
      <c r="G31" s="50" t="s">
        <v>73</v>
      </c>
      <c r="I31" s="43">
        <v>45694</v>
      </c>
      <c r="J31" s="42"/>
      <c r="K31" s="50">
        <f t="shared" si="6"/>
        <v>53</v>
      </c>
      <c r="L31" s="50">
        <v>5</v>
      </c>
      <c r="M31" s="50" t="s">
        <v>65</v>
      </c>
      <c r="N31" s="45">
        <f t="shared" si="3"/>
        <v>48</v>
      </c>
      <c r="O31" s="50" t="s">
        <v>73</v>
      </c>
      <c r="Q31" s="43">
        <v>45694</v>
      </c>
      <c r="R31" s="42"/>
      <c r="S31" s="50">
        <f t="shared" si="7"/>
        <v>53</v>
      </c>
      <c r="T31" s="50">
        <v>5</v>
      </c>
      <c r="U31" s="50" t="s">
        <v>65</v>
      </c>
      <c r="V31" s="45">
        <f t="shared" si="5"/>
        <v>48</v>
      </c>
      <c r="W31" s="50" t="s">
        <v>73</v>
      </c>
    </row>
    <row r="32" spans="1:23" ht="18" x14ac:dyDescent="0.35">
      <c r="A32" s="43">
        <v>45694</v>
      </c>
      <c r="B32" s="42"/>
      <c r="C32" s="50">
        <f t="shared" si="0"/>
        <v>45</v>
      </c>
      <c r="D32" s="50">
        <v>20</v>
      </c>
      <c r="E32" s="50" t="s">
        <v>66</v>
      </c>
      <c r="F32" s="45">
        <f t="shared" si="1"/>
        <v>25</v>
      </c>
      <c r="G32" s="50" t="s">
        <v>73</v>
      </c>
      <c r="I32" s="43">
        <v>45694</v>
      </c>
      <c r="J32" s="42"/>
      <c r="K32" s="50">
        <f t="shared" si="6"/>
        <v>48</v>
      </c>
      <c r="L32" s="50">
        <v>22</v>
      </c>
      <c r="M32" s="50" t="s">
        <v>66</v>
      </c>
      <c r="N32" s="45">
        <f t="shared" si="3"/>
        <v>26</v>
      </c>
      <c r="O32" s="50" t="s">
        <v>73</v>
      </c>
      <c r="Q32" s="43">
        <v>45694</v>
      </c>
      <c r="R32" s="42"/>
      <c r="S32" s="50">
        <f t="shared" si="7"/>
        <v>48</v>
      </c>
      <c r="T32" s="50">
        <v>22</v>
      </c>
      <c r="U32" s="50" t="s">
        <v>66</v>
      </c>
      <c r="V32" s="45">
        <f t="shared" si="5"/>
        <v>26</v>
      </c>
      <c r="W32" s="50" t="s">
        <v>73</v>
      </c>
    </row>
    <row r="33" spans="1:23" ht="18" x14ac:dyDescent="0.35">
      <c r="A33" s="43">
        <v>45694</v>
      </c>
      <c r="B33" s="42"/>
      <c r="C33" s="50">
        <f t="shared" si="0"/>
        <v>25</v>
      </c>
      <c r="D33" s="50">
        <v>14</v>
      </c>
      <c r="E33" s="50" t="s">
        <v>67</v>
      </c>
      <c r="F33" s="45">
        <f t="shared" si="1"/>
        <v>11</v>
      </c>
      <c r="G33" s="50" t="s">
        <v>73</v>
      </c>
      <c r="I33" s="43">
        <v>45694</v>
      </c>
      <c r="J33" s="42"/>
      <c r="K33" s="50">
        <f t="shared" si="6"/>
        <v>26</v>
      </c>
      <c r="L33" s="50">
        <v>15</v>
      </c>
      <c r="M33" s="50" t="s">
        <v>67</v>
      </c>
      <c r="N33" s="45">
        <f t="shared" si="3"/>
        <v>11</v>
      </c>
      <c r="O33" s="50" t="s">
        <v>73</v>
      </c>
      <c r="Q33" s="43">
        <v>45694</v>
      </c>
      <c r="R33" s="42"/>
      <c r="S33" s="50">
        <f t="shared" si="7"/>
        <v>26</v>
      </c>
      <c r="T33" s="50">
        <v>15</v>
      </c>
      <c r="U33" s="50" t="s">
        <v>67</v>
      </c>
      <c r="V33" s="45">
        <f t="shared" si="5"/>
        <v>11</v>
      </c>
      <c r="W33" s="50" t="s">
        <v>73</v>
      </c>
    </row>
    <row r="34" spans="1:23" ht="18" x14ac:dyDescent="0.35">
      <c r="A34" s="43">
        <v>45694</v>
      </c>
      <c r="B34" s="42"/>
      <c r="C34" s="50">
        <f>F33</f>
        <v>11</v>
      </c>
      <c r="D34" s="50">
        <v>5</v>
      </c>
      <c r="E34" s="50" t="s">
        <v>50</v>
      </c>
      <c r="F34" s="45">
        <f t="shared" si="1"/>
        <v>6</v>
      </c>
      <c r="G34" s="50" t="s">
        <v>73</v>
      </c>
      <c r="I34" s="43">
        <v>45694</v>
      </c>
      <c r="J34" s="42"/>
      <c r="K34" s="50">
        <f>N33</f>
        <v>11</v>
      </c>
      <c r="L34" s="50">
        <v>4</v>
      </c>
      <c r="M34" s="50" t="s">
        <v>50</v>
      </c>
      <c r="N34" s="45">
        <f t="shared" si="3"/>
        <v>7</v>
      </c>
      <c r="O34" s="50" t="s">
        <v>73</v>
      </c>
      <c r="Q34" s="43">
        <v>45694</v>
      </c>
      <c r="R34" s="42"/>
      <c r="S34" s="50">
        <f>V33</f>
        <v>11</v>
      </c>
      <c r="T34" s="50">
        <v>4</v>
      </c>
      <c r="U34" s="50" t="s">
        <v>50</v>
      </c>
      <c r="V34" s="45">
        <f t="shared" si="5"/>
        <v>7</v>
      </c>
      <c r="W34" s="50" t="s">
        <v>73</v>
      </c>
    </row>
    <row r="35" spans="1:23" ht="18" x14ac:dyDescent="0.35">
      <c r="A35" s="43">
        <v>45694</v>
      </c>
      <c r="B35" s="42"/>
      <c r="C35" s="50">
        <f t="shared" si="0"/>
        <v>6</v>
      </c>
      <c r="D35" s="50">
        <v>5</v>
      </c>
      <c r="E35" s="50" t="s">
        <v>68</v>
      </c>
      <c r="F35" s="45">
        <f t="shared" si="1"/>
        <v>1</v>
      </c>
      <c r="G35" s="50" t="s">
        <v>73</v>
      </c>
      <c r="I35" s="43">
        <v>45694</v>
      </c>
      <c r="J35" s="42"/>
      <c r="K35" s="50">
        <f t="shared" ref="K35:K36" si="8">N34</f>
        <v>7</v>
      </c>
      <c r="L35" s="50">
        <v>6</v>
      </c>
      <c r="M35" s="50" t="s">
        <v>68</v>
      </c>
      <c r="N35" s="45">
        <f t="shared" si="3"/>
        <v>1</v>
      </c>
      <c r="O35" s="50" t="s">
        <v>73</v>
      </c>
      <c r="Q35" s="43">
        <v>45694</v>
      </c>
      <c r="R35" s="42"/>
      <c r="S35" s="50">
        <f t="shared" ref="S35:S36" si="9">V34</f>
        <v>7</v>
      </c>
      <c r="T35" s="50">
        <v>6</v>
      </c>
      <c r="U35" s="50" t="s">
        <v>68</v>
      </c>
      <c r="V35" s="45">
        <f t="shared" si="5"/>
        <v>1</v>
      </c>
      <c r="W35" s="50" t="s">
        <v>73</v>
      </c>
    </row>
    <row r="36" spans="1:23" ht="18" x14ac:dyDescent="0.35">
      <c r="A36" s="43">
        <v>45694</v>
      </c>
      <c r="B36" s="42"/>
      <c r="C36" s="50">
        <f t="shared" ref="C36" si="10">F35</f>
        <v>1</v>
      </c>
      <c r="D36" s="50">
        <v>1</v>
      </c>
      <c r="E36" s="50" t="s">
        <v>88</v>
      </c>
      <c r="F36" s="45">
        <f t="shared" ref="F36" si="11">C36-D36</f>
        <v>0</v>
      </c>
      <c r="G36" s="50" t="s">
        <v>73</v>
      </c>
      <c r="I36" s="43">
        <v>45694</v>
      </c>
      <c r="J36" s="42"/>
      <c r="K36" s="50">
        <f t="shared" si="8"/>
        <v>1</v>
      </c>
      <c r="L36" s="50">
        <v>1</v>
      </c>
      <c r="M36" s="50" t="s">
        <v>88</v>
      </c>
      <c r="N36" s="45">
        <f t="shared" si="3"/>
        <v>0</v>
      </c>
      <c r="O36" s="50" t="s">
        <v>73</v>
      </c>
      <c r="Q36" s="43">
        <v>45694</v>
      </c>
      <c r="R36" s="42"/>
      <c r="S36" s="50">
        <f t="shared" si="9"/>
        <v>1</v>
      </c>
      <c r="T36" s="50">
        <v>1</v>
      </c>
      <c r="U36" s="50" t="s">
        <v>88</v>
      </c>
      <c r="V36" s="45">
        <f t="shared" si="5"/>
        <v>0</v>
      </c>
      <c r="W36" s="50" t="s">
        <v>73</v>
      </c>
    </row>
    <row r="37" spans="1:23" ht="18" x14ac:dyDescent="0.35">
      <c r="A37" s="42"/>
      <c r="B37" s="42"/>
      <c r="C37" s="50"/>
      <c r="D37" s="42"/>
      <c r="E37" s="50"/>
      <c r="F37" s="42"/>
      <c r="G37" s="50"/>
      <c r="I37" s="42"/>
      <c r="J37" s="42"/>
      <c r="K37" s="50"/>
      <c r="L37" s="42"/>
      <c r="M37" s="50"/>
      <c r="N37" s="42"/>
      <c r="O37" s="50"/>
      <c r="Q37" s="42"/>
      <c r="R37" s="42"/>
      <c r="S37" s="50"/>
      <c r="T37" s="42"/>
      <c r="U37" s="50"/>
      <c r="V37" s="42"/>
      <c r="W37" s="50"/>
    </row>
    <row r="38" spans="1:23" ht="15.6" x14ac:dyDescent="0.3">
      <c r="A38" s="41"/>
      <c r="B38" s="41"/>
      <c r="C38" s="56"/>
      <c r="I38" s="41"/>
      <c r="J38" s="41"/>
      <c r="K38" s="56"/>
      <c r="Q38" s="41"/>
      <c r="R38" s="41"/>
      <c r="S38" s="56"/>
    </row>
    <row r="39" spans="1:23" ht="15.6" x14ac:dyDescent="0.3">
      <c r="A39" s="41"/>
      <c r="B39" s="41"/>
      <c r="I39" s="41"/>
      <c r="J39" s="41"/>
      <c r="Q39" s="41"/>
      <c r="R39" s="41"/>
    </row>
    <row r="40" spans="1:23" ht="15.6" x14ac:dyDescent="0.3">
      <c r="A40" s="41"/>
      <c r="B40" s="41"/>
      <c r="I40" s="41"/>
      <c r="J40" s="41"/>
      <c r="Q40" s="41"/>
      <c r="R40" s="41"/>
    </row>
  </sheetData>
  <mergeCells count="18">
    <mergeCell ref="Q4:W4"/>
    <mergeCell ref="Q5:W5"/>
    <mergeCell ref="Q11:Q12"/>
    <mergeCell ref="R11:R12"/>
    <mergeCell ref="T11:U11"/>
    <mergeCell ref="W11:W12"/>
    <mergeCell ref="A4:G4"/>
    <mergeCell ref="I4:O4"/>
    <mergeCell ref="A5:G5"/>
    <mergeCell ref="I5:O5"/>
    <mergeCell ref="A11:A12"/>
    <mergeCell ref="B11:B12"/>
    <mergeCell ref="D11:E11"/>
    <mergeCell ref="G11:G12"/>
    <mergeCell ref="I11:I12"/>
    <mergeCell ref="J11:J12"/>
    <mergeCell ref="L11:M11"/>
    <mergeCell ref="O11:O12"/>
  </mergeCells>
  <pageMargins left="0.38" right="0.11811023622047245" top="0.94488188976377963" bottom="0.74803149606299213" header="0.31496062992125984" footer="0.31496062992125984"/>
  <pageSetup paperSize="9" scale="70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7529-016C-40B3-8964-B9564CFDAF07}">
  <sheetPr>
    <tabColor rgb="FF00B050"/>
  </sheetPr>
  <dimension ref="A1:O39"/>
  <sheetViews>
    <sheetView workbookViewId="0">
      <selection activeCell="G21" sqref="G21"/>
    </sheetView>
  </sheetViews>
  <sheetFormatPr defaultRowHeight="14.4" x14ac:dyDescent="0.3"/>
  <cols>
    <col min="1" max="1" width="12.33203125" customWidth="1"/>
    <col min="2" max="2" width="22.109375" customWidth="1"/>
    <col min="3" max="3" width="13" style="2" customWidth="1"/>
    <col min="4" max="4" width="13" customWidth="1"/>
    <col min="5" max="5" width="25.6640625" style="2" customWidth="1"/>
    <col min="6" max="6" width="17.44140625" customWidth="1"/>
    <col min="7" max="7" width="25.5546875" style="2" customWidth="1"/>
    <col min="9" max="9" width="12.33203125" customWidth="1"/>
    <col min="10" max="10" width="22.109375" customWidth="1"/>
    <col min="11" max="12" width="13" customWidth="1"/>
    <col min="13" max="13" width="25.6640625" style="2" customWidth="1"/>
    <col min="14" max="14" width="15.33203125" style="2" customWidth="1"/>
    <col min="15" max="15" width="23.77734375" customWidth="1"/>
  </cols>
  <sheetData>
    <row r="1" spans="1:15" ht="42" x14ac:dyDescent="0.3">
      <c r="G1" s="62" t="s">
        <v>0</v>
      </c>
      <c r="O1" s="1" t="s">
        <v>0</v>
      </c>
    </row>
    <row r="2" spans="1:15" ht="21" x14ac:dyDescent="0.3">
      <c r="G2" s="62"/>
      <c r="O2" s="1"/>
    </row>
    <row r="4" spans="1:15" ht="17.399999999999999" x14ac:dyDescent="0.3">
      <c r="A4" s="102" t="s">
        <v>1</v>
      </c>
      <c r="B4" s="102"/>
      <c r="C4" s="102"/>
      <c r="D4" s="102"/>
      <c r="E4" s="102"/>
      <c r="F4" s="102"/>
      <c r="G4" s="102"/>
      <c r="I4" s="102" t="s">
        <v>1</v>
      </c>
      <c r="J4" s="102"/>
      <c r="K4" s="102"/>
      <c r="L4" s="102"/>
      <c r="M4" s="102"/>
      <c r="N4" s="102"/>
      <c r="O4" s="102"/>
    </row>
    <row r="5" spans="1:15" x14ac:dyDescent="0.3">
      <c r="A5" s="103"/>
      <c r="B5" s="103"/>
      <c r="C5" s="103"/>
      <c r="D5" s="103"/>
      <c r="E5" s="103"/>
      <c r="F5" s="103"/>
      <c r="G5" s="103"/>
      <c r="I5" s="103"/>
      <c r="J5" s="103"/>
      <c r="K5" s="103"/>
      <c r="L5" s="103"/>
      <c r="M5" s="103"/>
      <c r="N5" s="103"/>
      <c r="O5" s="103"/>
    </row>
    <row r="6" spans="1:15" ht="15.6" x14ac:dyDescent="0.3">
      <c r="A6" s="3" t="s">
        <v>20</v>
      </c>
      <c r="C6" s="4"/>
      <c r="D6" s="4"/>
      <c r="E6" s="4"/>
      <c r="F6" s="3" t="s">
        <v>2</v>
      </c>
      <c r="G6" s="4"/>
      <c r="I6" s="3" t="s">
        <v>20</v>
      </c>
      <c r="K6" s="4"/>
      <c r="L6" s="4"/>
      <c r="M6" s="4"/>
      <c r="N6" s="4" t="s">
        <v>2</v>
      </c>
      <c r="O6" s="4"/>
    </row>
    <row r="7" spans="1:15" ht="15" thickBot="1" x14ac:dyDescent="0.35">
      <c r="A7" s="2"/>
      <c r="B7" s="2"/>
      <c r="D7" s="2"/>
      <c r="F7" s="2"/>
      <c r="I7" s="2"/>
      <c r="J7" s="2"/>
      <c r="K7" s="2"/>
      <c r="L7" s="2"/>
      <c r="O7" s="2"/>
    </row>
    <row r="8" spans="1:15" ht="18" x14ac:dyDescent="0.35">
      <c r="A8" s="5" t="s">
        <v>3</v>
      </c>
      <c r="B8" s="6" t="s">
        <v>21</v>
      </c>
      <c r="C8" s="52"/>
      <c r="D8" s="7"/>
      <c r="E8" s="63"/>
      <c r="F8" s="9" t="s">
        <v>4</v>
      </c>
      <c r="G8" s="63" t="s">
        <v>70</v>
      </c>
      <c r="I8" s="5" t="s">
        <v>3</v>
      </c>
      <c r="J8" s="6" t="s">
        <v>71</v>
      </c>
      <c r="K8" s="6"/>
      <c r="L8" s="7"/>
      <c r="M8" s="63"/>
      <c r="N8" s="66" t="s">
        <v>4</v>
      </c>
      <c r="O8" s="8" t="s">
        <v>74</v>
      </c>
    </row>
    <row r="9" spans="1:15" ht="18" x14ac:dyDescent="0.35">
      <c r="A9" s="10" t="s">
        <v>5</v>
      </c>
      <c r="B9" s="11" t="s">
        <v>78</v>
      </c>
      <c r="C9" s="53"/>
      <c r="D9" s="12"/>
      <c r="E9" s="64"/>
      <c r="F9" s="14" t="s">
        <v>6</v>
      </c>
      <c r="G9" s="64"/>
      <c r="I9" s="10" t="s">
        <v>5</v>
      </c>
      <c r="J9" s="11" t="s">
        <v>78</v>
      </c>
      <c r="K9" s="11"/>
      <c r="L9" s="12"/>
      <c r="M9" s="64"/>
      <c r="N9" s="67" t="s">
        <v>6</v>
      </c>
      <c r="O9" s="13"/>
    </row>
    <row r="10" spans="1:15" ht="16.2" thickBot="1" x14ac:dyDescent="0.35">
      <c r="A10" s="15" t="s">
        <v>7</v>
      </c>
      <c r="B10" s="16"/>
      <c r="C10" s="54" t="s">
        <v>35</v>
      </c>
      <c r="D10" s="17"/>
      <c r="E10" s="69"/>
      <c r="F10" s="19"/>
      <c r="G10" s="65"/>
      <c r="I10" s="15" t="s">
        <v>7</v>
      </c>
      <c r="J10" s="16"/>
      <c r="K10" s="16" t="s">
        <v>35</v>
      </c>
      <c r="L10" s="17"/>
      <c r="M10" s="69"/>
      <c r="N10" s="68"/>
      <c r="O10" s="20"/>
    </row>
    <row r="11" spans="1:15" ht="16.8" thickBot="1" x14ac:dyDescent="0.35">
      <c r="A11" s="104" t="s">
        <v>9</v>
      </c>
      <c r="B11" s="104" t="s">
        <v>10</v>
      </c>
      <c r="C11" s="22" t="s">
        <v>11</v>
      </c>
      <c r="D11" s="106" t="s">
        <v>12</v>
      </c>
      <c r="E11" s="107"/>
      <c r="F11" s="23" t="s">
        <v>13</v>
      </c>
      <c r="G11" s="108" t="s">
        <v>14</v>
      </c>
      <c r="I11" s="104" t="s">
        <v>9</v>
      </c>
      <c r="J11" s="104" t="s">
        <v>10</v>
      </c>
      <c r="K11" s="22" t="s">
        <v>11</v>
      </c>
      <c r="L11" s="106" t="s">
        <v>12</v>
      </c>
      <c r="M11" s="107"/>
      <c r="N11" s="23" t="s">
        <v>13</v>
      </c>
      <c r="O11" s="108" t="s">
        <v>14</v>
      </c>
    </row>
    <row r="12" spans="1:15" ht="16.2" thickBot="1" x14ac:dyDescent="0.35">
      <c r="A12" s="105"/>
      <c r="B12" s="105"/>
      <c r="C12" s="25" t="s">
        <v>15</v>
      </c>
      <c r="D12" s="47" t="s">
        <v>15</v>
      </c>
      <c r="E12" s="27" t="s">
        <v>36</v>
      </c>
      <c r="F12" s="48" t="s">
        <v>15</v>
      </c>
      <c r="G12" s="109"/>
      <c r="I12" s="115"/>
      <c r="J12" s="105"/>
      <c r="K12" s="25" t="s">
        <v>15</v>
      </c>
      <c r="L12" s="47" t="s">
        <v>15</v>
      </c>
      <c r="M12" s="27" t="s">
        <v>36</v>
      </c>
      <c r="N12" s="48" t="s">
        <v>15</v>
      </c>
      <c r="O12" s="109"/>
    </row>
    <row r="13" spans="1:15" ht="18" x14ac:dyDescent="0.35">
      <c r="A13" s="44" t="s">
        <v>75</v>
      </c>
      <c r="B13" s="72" t="s">
        <v>76</v>
      </c>
      <c r="C13" s="55">
        <f>1522+1579</f>
        <v>3101</v>
      </c>
      <c r="D13" s="49">
        <v>251</v>
      </c>
      <c r="E13" s="55" t="s">
        <v>54</v>
      </c>
      <c r="F13" s="45">
        <f>C13-D13</f>
        <v>2850</v>
      </c>
      <c r="G13" s="49" t="s">
        <v>73</v>
      </c>
      <c r="I13" s="44" t="str">
        <f>A13</f>
        <v>10/13/2025</v>
      </c>
      <c r="J13" s="72" t="s">
        <v>76</v>
      </c>
      <c r="K13" s="46">
        <v>31</v>
      </c>
      <c r="L13" s="49">
        <v>2</v>
      </c>
      <c r="M13" s="55" t="s">
        <v>54</v>
      </c>
      <c r="N13" s="49">
        <f>K13-L13</f>
        <v>29</v>
      </c>
      <c r="O13" s="49" t="s">
        <v>73</v>
      </c>
    </row>
    <row r="14" spans="1:15" ht="18" x14ac:dyDescent="0.35">
      <c r="A14" s="43"/>
      <c r="B14" s="71" t="s">
        <v>81</v>
      </c>
      <c r="C14" s="50">
        <f>F13</f>
        <v>2850</v>
      </c>
      <c r="D14" s="50">
        <v>67</v>
      </c>
      <c r="E14" s="50" t="s">
        <v>37</v>
      </c>
      <c r="F14" s="45">
        <f>C14-D14</f>
        <v>2783</v>
      </c>
      <c r="G14" s="50" t="s">
        <v>73</v>
      </c>
      <c r="I14" s="43"/>
      <c r="J14" s="71" t="s">
        <v>81</v>
      </c>
      <c r="K14" s="42">
        <f>N13</f>
        <v>29</v>
      </c>
      <c r="L14" s="50">
        <v>1</v>
      </c>
      <c r="M14" s="50" t="s">
        <v>37</v>
      </c>
      <c r="N14" s="49">
        <f>K14-L14</f>
        <v>28</v>
      </c>
      <c r="O14" s="50" t="s">
        <v>73</v>
      </c>
    </row>
    <row r="15" spans="1:15" ht="18" x14ac:dyDescent="0.35">
      <c r="A15" s="43"/>
      <c r="B15" s="71" t="s">
        <v>77</v>
      </c>
      <c r="C15" s="50">
        <f>F14</f>
        <v>2783</v>
      </c>
      <c r="D15" s="50">
        <v>185</v>
      </c>
      <c r="E15" s="50" t="s">
        <v>79</v>
      </c>
      <c r="F15" s="45">
        <f>C15-D15</f>
        <v>2598</v>
      </c>
      <c r="G15" s="50" t="s">
        <v>73</v>
      </c>
      <c r="I15" s="43"/>
      <c r="J15" s="71" t="s">
        <v>77</v>
      </c>
      <c r="K15" s="42">
        <f>N14</f>
        <v>28</v>
      </c>
      <c r="L15" s="50">
        <v>1</v>
      </c>
      <c r="M15" s="50" t="s">
        <v>79</v>
      </c>
      <c r="N15" s="49">
        <f>K15-L15</f>
        <v>27</v>
      </c>
      <c r="O15" s="50" t="s">
        <v>73</v>
      </c>
    </row>
    <row r="16" spans="1:15" ht="18" x14ac:dyDescent="0.35">
      <c r="A16" s="43"/>
      <c r="B16" s="42"/>
      <c r="C16" s="50">
        <f t="shared" ref="C16:C35" si="0">F15</f>
        <v>2598</v>
      </c>
      <c r="D16" s="50">
        <v>76</v>
      </c>
      <c r="E16" s="50" t="s">
        <v>39</v>
      </c>
      <c r="F16" s="45">
        <f t="shared" ref="F16:F35" si="1">C16-D16</f>
        <v>2522</v>
      </c>
      <c r="G16" s="50" t="s">
        <v>73</v>
      </c>
      <c r="I16" s="43"/>
      <c r="J16" s="42"/>
      <c r="K16" s="42">
        <f t="shared" ref="K16:K31" si="2">N15</f>
        <v>27</v>
      </c>
      <c r="L16" s="50">
        <v>1</v>
      </c>
      <c r="M16" s="50" t="s">
        <v>39</v>
      </c>
      <c r="N16" s="49">
        <f t="shared" ref="N16:N35" si="3">K16-L16</f>
        <v>26</v>
      </c>
      <c r="O16" s="50" t="s">
        <v>73</v>
      </c>
    </row>
    <row r="17" spans="1:15" ht="18" x14ac:dyDescent="0.35">
      <c r="A17" s="43"/>
      <c r="B17" s="42"/>
      <c r="C17" s="50">
        <f t="shared" si="0"/>
        <v>2522</v>
      </c>
      <c r="D17" s="50">
        <v>155</v>
      </c>
      <c r="E17" s="50" t="s">
        <v>40</v>
      </c>
      <c r="F17" s="45">
        <f t="shared" si="1"/>
        <v>2367</v>
      </c>
      <c r="G17" s="50" t="s">
        <v>73</v>
      </c>
      <c r="I17" s="43"/>
      <c r="J17" s="42"/>
      <c r="K17" s="42">
        <f t="shared" si="2"/>
        <v>26</v>
      </c>
      <c r="L17" s="50">
        <v>1</v>
      </c>
      <c r="M17" s="50" t="s">
        <v>40</v>
      </c>
      <c r="N17" s="49">
        <f t="shared" si="3"/>
        <v>25</v>
      </c>
      <c r="O17" s="50" t="s">
        <v>73</v>
      </c>
    </row>
    <row r="18" spans="1:15" ht="18" x14ac:dyDescent="0.35">
      <c r="A18" s="43"/>
      <c r="B18" s="42"/>
      <c r="C18" s="50">
        <f t="shared" si="0"/>
        <v>2367</v>
      </c>
      <c r="D18" s="50">
        <v>42</v>
      </c>
      <c r="E18" s="50" t="s">
        <v>55</v>
      </c>
      <c r="F18" s="45">
        <f t="shared" si="1"/>
        <v>2325</v>
      </c>
      <c r="G18" s="50" t="s">
        <v>73</v>
      </c>
      <c r="I18" s="43"/>
      <c r="J18" s="42"/>
      <c r="K18" s="42">
        <f t="shared" si="2"/>
        <v>25</v>
      </c>
      <c r="L18" s="50">
        <v>1</v>
      </c>
      <c r="M18" s="50" t="s">
        <v>55</v>
      </c>
      <c r="N18" s="49">
        <f t="shared" si="3"/>
        <v>24</v>
      </c>
      <c r="O18" s="50" t="s">
        <v>73</v>
      </c>
    </row>
    <row r="19" spans="1:15" ht="18" x14ac:dyDescent="0.35">
      <c r="A19" s="43"/>
      <c r="B19" s="42"/>
      <c r="C19" s="50">
        <f t="shared" si="0"/>
        <v>2325</v>
      </c>
      <c r="D19" s="50">
        <v>220</v>
      </c>
      <c r="E19" s="50" t="s">
        <v>56</v>
      </c>
      <c r="F19" s="45">
        <f t="shared" si="1"/>
        <v>2105</v>
      </c>
      <c r="G19" s="50" t="s">
        <v>73</v>
      </c>
      <c r="I19" s="43"/>
      <c r="J19" s="42"/>
      <c r="K19" s="42">
        <f t="shared" si="2"/>
        <v>24</v>
      </c>
      <c r="L19" s="50">
        <v>2</v>
      </c>
      <c r="M19" s="50" t="s">
        <v>56</v>
      </c>
      <c r="N19" s="49">
        <f t="shared" si="3"/>
        <v>22</v>
      </c>
      <c r="O19" s="50" t="s">
        <v>73</v>
      </c>
    </row>
    <row r="20" spans="1:15" ht="18" x14ac:dyDescent="0.35">
      <c r="A20" s="43"/>
      <c r="B20" s="42"/>
      <c r="C20" s="50">
        <f t="shared" si="0"/>
        <v>2105</v>
      </c>
      <c r="D20" s="50">
        <v>95</v>
      </c>
      <c r="E20" s="50" t="s">
        <v>57</v>
      </c>
      <c r="F20" s="45">
        <f t="shared" si="1"/>
        <v>2010</v>
      </c>
      <c r="G20" s="50" t="s">
        <v>73</v>
      </c>
      <c r="I20" s="43"/>
      <c r="J20" s="42"/>
      <c r="K20" s="42">
        <f t="shared" si="2"/>
        <v>22</v>
      </c>
      <c r="L20" s="50">
        <v>1</v>
      </c>
      <c r="M20" s="50" t="s">
        <v>57</v>
      </c>
      <c r="N20" s="49">
        <f t="shared" si="3"/>
        <v>21</v>
      </c>
      <c r="O20" s="50" t="s">
        <v>73</v>
      </c>
    </row>
    <row r="21" spans="1:15" ht="18" x14ac:dyDescent="0.35">
      <c r="A21" s="43"/>
      <c r="B21" s="42"/>
      <c r="C21" s="50">
        <f t="shared" si="0"/>
        <v>2010</v>
      </c>
      <c r="D21" s="50">
        <v>26</v>
      </c>
      <c r="E21" s="50" t="s">
        <v>45</v>
      </c>
      <c r="F21" s="45">
        <f t="shared" si="1"/>
        <v>1984</v>
      </c>
      <c r="G21" s="50" t="s">
        <v>73</v>
      </c>
      <c r="I21" s="43"/>
      <c r="J21" s="42"/>
      <c r="K21" s="42">
        <f t="shared" si="2"/>
        <v>21</v>
      </c>
      <c r="L21" s="50">
        <v>1</v>
      </c>
      <c r="M21" s="50" t="s">
        <v>45</v>
      </c>
      <c r="N21" s="49">
        <f t="shared" si="3"/>
        <v>20</v>
      </c>
      <c r="O21" s="50" t="s">
        <v>73</v>
      </c>
    </row>
    <row r="22" spans="1:15" ht="18" x14ac:dyDescent="0.35">
      <c r="A22" s="43"/>
      <c r="B22" s="42"/>
      <c r="C22" s="50">
        <f t="shared" si="0"/>
        <v>1984</v>
      </c>
      <c r="D22" s="50">
        <v>221</v>
      </c>
      <c r="E22" s="50" t="s">
        <v>46</v>
      </c>
      <c r="F22" s="45">
        <f t="shared" si="1"/>
        <v>1763</v>
      </c>
      <c r="G22" s="50" t="s">
        <v>73</v>
      </c>
      <c r="I22" s="43"/>
      <c r="J22" s="42"/>
      <c r="K22" s="42">
        <f t="shared" si="2"/>
        <v>20</v>
      </c>
      <c r="L22" s="50">
        <v>2</v>
      </c>
      <c r="M22" s="50" t="s">
        <v>46</v>
      </c>
      <c r="N22" s="49">
        <f t="shared" si="3"/>
        <v>18</v>
      </c>
      <c r="O22" s="50" t="s">
        <v>73</v>
      </c>
    </row>
    <row r="23" spans="1:15" ht="18" x14ac:dyDescent="0.35">
      <c r="A23" s="43"/>
      <c r="B23" s="42"/>
      <c r="C23" s="50">
        <f t="shared" si="0"/>
        <v>1763</v>
      </c>
      <c r="D23" s="50">
        <v>50</v>
      </c>
      <c r="E23" s="50" t="s">
        <v>58</v>
      </c>
      <c r="F23" s="45">
        <f t="shared" si="1"/>
        <v>1713</v>
      </c>
      <c r="G23" s="50" t="s">
        <v>73</v>
      </c>
      <c r="I23" s="43"/>
      <c r="J23" s="42"/>
      <c r="K23" s="42">
        <f t="shared" si="2"/>
        <v>18</v>
      </c>
      <c r="L23" s="50">
        <v>1</v>
      </c>
      <c r="M23" s="50" t="s">
        <v>58</v>
      </c>
      <c r="N23" s="49">
        <f t="shared" si="3"/>
        <v>17</v>
      </c>
      <c r="O23" s="50" t="s">
        <v>73</v>
      </c>
    </row>
    <row r="24" spans="1:15" ht="18" x14ac:dyDescent="0.35">
      <c r="A24" s="43"/>
      <c r="B24" s="42"/>
      <c r="C24" s="50">
        <f t="shared" si="0"/>
        <v>1713</v>
      </c>
      <c r="D24" s="50">
        <v>207</v>
      </c>
      <c r="E24" s="50" t="s">
        <v>47</v>
      </c>
      <c r="F24" s="45">
        <f t="shared" si="1"/>
        <v>1506</v>
      </c>
      <c r="G24" s="50" t="s">
        <v>73</v>
      </c>
      <c r="I24" s="43"/>
      <c r="J24" s="42"/>
      <c r="K24" s="42">
        <f t="shared" si="2"/>
        <v>17</v>
      </c>
      <c r="L24" s="50">
        <v>2</v>
      </c>
      <c r="M24" s="50" t="s">
        <v>47</v>
      </c>
      <c r="N24" s="49">
        <f t="shared" si="3"/>
        <v>15</v>
      </c>
      <c r="O24" s="50" t="s">
        <v>73</v>
      </c>
    </row>
    <row r="25" spans="1:15" ht="18" x14ac:dyDescent="0.35">
      <c r="A25" s="43"/>
      <c r="B25" s="42"/>
      <c r="C25" s="50">
        <f>F24</f>
        <v>1506</v>
      </c>
      <c r="D25" s="50">
        <v>172</v>
      </c>
      <c r="E25" s="50" t="s">
        <v>59</v>
      </c>
      <c r="F25" s="45">
        <f t="shared" si="1"/>
        <v>1334</v>
      </c>
      <c r="G25" s="50" t="s">
        <v>73</v>
      </c>
      <c r="I25" s="43"/>
      <c r="J25" s="42"/>
      <c r="K25" s="42">
        <f t="shared" si="2"/>
        <v>15</v>
      </c>
      <c r="L25" s="50">
        <v>2</v>
      </c>
      <c r="M25" s="50" t="s">
        <v>59</v>
      </c>
      <c r="N25" s="49">
        <f t="shared" si="3"/>
        <v>13</v>
      </c>
      <c r="O25" s="50" t="s">
        <v>73</v>
      </c>
    </row>
    <row r="26" spans="1:15" ht="18" x14ac:dyDescent="0.35">
      <c r="A26" s="43"/>
      <c r="B26" s="42"/>
      <c r="C26" s="50">
        <f t="shared" si="0"/>
        <v>1334</v>
      </c>
      <c r="D26" s="50">
        <v>90</v>
      </c>
      <c r="E26" s="50" t="s">
        <v>60</v>
      </c>
      <c r="F26" s="45">
        <f t="shared" si="1"/>
        <v>1244</v>
      </c>
      <c r="G26" s="50" t="s">
        <v>73</v>
      </c>
      <c r="I26" s="43"/>
      <c r="J26" s="42"/>
      <c r="K26" s="42">
        <f t="shared" si="2"/>
        <v>13</v>
      </c>
      <c r="L26" s="50">
        <v>1</v>
      </c>
      <c r="M26" s="50" t="s">
        <v>60</v>
      </c>
      <c r="N26" s="49">
        <f t="shared" si="3"/>
        <v>12</v>
      </c>
      <c r="O26" s="50" t="s">
        <v>73</v>
      </c>
    </row>
    <row r="27" spans="1:15" ht="18" x14ac:dyDescent="0.35">
      <c r="A27" s="43"/>
      <c r="B27" s="42"/>
      <c r="C27" s="50">
        <f t="shared" si="0"/>
        <v>1244</v>
      </c>
      <c r="D27" s="50">
        <v>187</v>
      </c>
      <c r="E27" s="50" t="s">
        <v>80</v>
      </c>
      <c r="F27" s="45">
        <f t="shared" si="1"/>
        <v>1057</v>
      </c>
      <c r="G27" s="50" t="s">
        <v>73</v>
      </c>
      <c r="I27" s="43"/>
      <c r="J27" s="42"/>
      <c r="K27" s="42">
        <f t="shared" si="2"/>
        <v>12</v>
      </c>
      <c r="L27" s="50">
        <v>2</v>
      </c>
      <c r="M27" s="50" t="s">
        <v>80</v>
      </c>
      <c r="N27" s="49">
        <f t="shared" si="3"/>
        <v>10</v>
      </c>
      <c r="O27" s="50" t="s">
        <v>73</v>
      </c>
    </row>
    <row r="28" spans="1:15" ht="18" x14ac:dyDescent="0.35">
      <c r="A28" s="42"/>
      <c r="B28" s="42"/>
      <c r="C28" s="50">
        <f t="shared" si="0"/>
        <v>1057</v>
      </c>
      <c r="D28" s="50">
        <v>215</v>
      </c>
      <c r="E28" s="50" t="s">
        <v>62</v>
      </c>
      <c r="F28" s="45">
        <f t="shared" si="1"/>
        <v>842</v>
      </c>
      <c r="G28" s="50" t="s">
        <v>73</v>
      </c>
      <c r="I28" s="42"/>
      <c r="J28" s="42"/>
      <c r="K28" s="42">
        <f t="shared" si="2"/>
        <v>10</v>
      </c>
      <c r="L28" s="50">
        <v>2</v>
      </c>
      <c r="M28" s="50" t="s">
        <v>62</v>
      </c>
      <c r="N28" s="49">
        <f t="shared" si="3"/>
        <v>8</v>
      </c>
      <c r="O28" s="50" t="s">
        <v>73</v>
      </c>
    </row>
    <row r="29" spans="1:15" ht="18" x14ac:dyDescent="0.35">
      <c r="A29" s="42"/>
      <c r="B29" s="42"/>
      <c r="C29" s="50">
        <f t="shared" si="0"/>
        <v>842</v>
      </c>
      <c r="D29" s="50">
        <v>70</v>
      </c>
      <c r="E29" s="50" t="s">
        <v>63</v>
      </c>
      <c r="F29" s="45">
        <f t="shared" si="1"/>
        <v>772</v>
      </c>
      <c r="G29" s="50" t="s">
        <v>73</v>
      </c>
      <c r="I29" s="42"/>
      <c r="J29" s="42"/>
      <c r="K29" s="42">
        <f t="shared" si="2"/>
        <v>8</v>
      </c>
      <c r="L29" s="50">
        <v>1</v>
      </c>
      <c r="M29" s="50" t="s">
        <v>63</v>
      </c>
      <c r="N29" s="49">
        <f t="shared" si="3"/>
        <v>7</v>
      </c>
      <c r="O29" s="50" t="s">
        <v>73</v>
      </c>
    </row>
    <row r="30" spans="1:15" ht="18" x14ac:dyDescent="0.35">
      <c r="A30" s="43"/>
      <c r="B30" s="42"/>
      <c r="C30" s="50">
        <f t="shared" si="0"/>
        <v>772</v>
      </c>
      <c r="D30" s="50">
        <v>135</v>
      </c>
      <c r="E30" s="50" t="s">
        <v>64</v>
      </c>
      <c r="F30" s="45">
        <f t="shared" si="1"/>
        <v>637</v>
      </c>
      <c r="G30" s="50" t="s">
        <v>73</v>
      </c>
      <c r="I30" s="43"/>
      <c r="J30" s="42"/>
      <c r="K30" s="42">
        <f t="shared" si="2"/>
        <v>7</v>
      </c>
      <c r="L30" s="50">
        <v>1</v>
      </c>
      <c r="M30" s="50" t="s">
        <v>64</v>
      </c>
      <c r="N30" s="49">
        <f t="shared" si="3"/>
        <v>6</v>
      </c>
      <c r="O30" s="50" t="s">
        <v>73</v>
      </c>
    </row>
    <row r="31" spans="1:15" ht="18" x14ac:dyDescent="0.35">
      <c r="A31" s="42"/>
      <c r="B31" s="42"/>
      <c r="C31" s="50">
        <f t="shared" si="0"/>
        <v>637</v>
      </c>
      <c r="D31" s="50">
        <v>65</v>
      </c>
      <c r="E31" s="50" t="s">
        <v>65</v>
      </c>
      <c r="F31" s="45">
        <f t="shared" si="1"/>
        <v>572</v>
      </c>
      <c r="G31" s="50" t="s">
        <v>73</v>
      </c>
      <c r="I31" s="42"/>
      <c r="J31" s="42"/>
      <c r="K31" s="42">
        <f t="shared" si="2"/>
        <v>6</v>
      </c>
      <c r="L31" s="50">
        <v>1</v>
      </c>
      <c r="M31" s="50" t="s">
        <v>65</v>
      </c>
      <c r="N31" s="49">
        <f t="shared" si="3"/>
        <v>5</v>
      </c>
      <c r="O31" s="50" t="s">
        <v>73</v>
      </c>
    </row>
    <row r="32" spans="1:15" ht="18" x14ac:dyDescent="0.35">
      <c r="A32" s="42"/>
      <c r="B32" s="42"/>
      <c r="C32" s="50">
        <f t="shared" si="0"/>
        <v>572</v>
      </c>
      <c r="D32" s="50">
        <v>245</v>
      </c>
      <c r="E32" s="50" t="s">
        <v>66</v>
      </c>
      <c r="F32" s="45">
        <f t="shared" si="1"/>
        <v>327</v>
      </c>
      <c r="G32" s="50" t="s">
        <v>73</v>
      </c>
      <c r="I32" s="42"/>
      <c r="J32" s="42"/>
      <c r="K32" s="42">
        <f>N31</f>
        <v>5</v>
      </c>
      <c r="L32" s="50">
        <v>1</v>
      </c>
      <c r="M32" s="50" t="s">
        <v>66</v>
      </c>
      <c r="N32" s="49">
        <f t="shared" si="3"/>
        <v>4</v>
      </c>
      <c r="O32" s="50" t="s">
        <v>73</v>
      </c>
    </row>
    <row r="33" spans="1:15" ht="18" x14ac:dyDescent="0.35">
      <c r="A33" s="42"/>
      <c r="B33" s="42"/>
      <c r="C33" s="50">
        <f t="shared" si="0"/>
        <v>327</v>
      </c>
      <c r="D33" s="50">
        <v>187</v>
      </c>
      <c r="E33" s="50" t="s">
        <v>67</v>
      </c>
      <c r="F33" s="45">
        <f t="shared" si="1"/>
        <v>140</v>
      </c>
      <c r="G33" s="50" t="s">
        <v>73</v>
      </c>
      <c r="I33" s="42"/>
      <c r="J33" s="42"/>
      <c r="K33" s="42">
        <f t="shared" ref="K33:K35" si="4">N32</f>
        <v>4</v>
      </c>
      <c r="L33" s="50">
        <v>2</v>
      </c>
      <c r="M33" s="50" t="s">
        <v>67</v>
      </c>
      <c r="N33" s="49">
        <f t="shared" si="3"/>
        <v>2</v>
      </c>
      <c r="O33" s="50" t="s">
        <v>73</v>
      </c>
    </row>
    <row r="34" spans="1:15" ht="18" x14ac:dyDescent="0.35">
      <c r="A34" s="42"/>
      <c r="B34" s="42"/>
      <c r="C34" s="50">
        <f>F33</f>
        <v>140</v>
      </c>
      <c r="D34" s="50">
        <v>65</v>
      </c>
      <c r="E34" s="50" t="s">
        <v>50</v>
      </c>
      <c r="F34" s="45">
        <f t="shared" si="1"/>
        <v>75</v>
      </c>
      <c r="G34" s="50" t="s">
        <v>73</v>
      </c>
      <c r="I34" s="42"/>
      <c r="J34" s="42"/>
      <c r="K34" s="42">
        <f t="shared" si="4"/>
        <v>2</v>
      </c>
      <c r="L34" s="50">
        <v>1</v>
      </c>
      <c r="M34" s="50" t="s">
        <v>50</v>
      </c>
      <c r="N34" s="49">
        <f t="shared" si="3"/>
        <v>1</v>
      </c>
      <c r="O34" s="50" t="s">
        <v>73</v>
      </c>
    </row>
    <row r="35" spans="1:15" ht="18" x14ac:dyDescent="0.35">
      <c r="A35" s="42"/>
      <c r="B35" s="42"/>
      <c r="C35" s="50">
        <f t="shared" si="0"/>
        <v>75</v>
      </c>
      <c r="D35" s="50">
        <v>75</v>
      </c>
      <c r="E35" s="50" t="s">
        <v>68</v>
      </c>
      <c r="F35" s="45">
        <f t="shared" si="1"/>
        <v>0</v>
      </c>
      <c r="G35" s="50" t="s">
        <v>73</v>
      </c>
      <c r="I35" s="42"/>
      <c r="J35" s="42"/>
      <c r="K35" s="42">
        <f t="shared" si="4"/>
        <v>1</v>
      </c>
      <c r="L35" s="50">
        <v>1</v>
      </c>
      <c r="M35" s="50" t="s">
        <v>68</v>
      </c>
      <c r="N35" s="49">
        <f t="shared" si="3"/>
        <v>0</v>
      </c>
      <c r="O35" s="50" t="s">
        <v>73</v>
      </c>
    </row>
    <row r="36" spans="1:15" ht="18" x14ac:dyDescent="0.35">
      <c r="A36" s="42"/>
      <c r="B36" s="42"/>
      <c r="C36" s="50"/>
      <c r="D36" s="42"/>
      <c r="E36" s="50"/>
      <c r="F36" s="42"/>
      <c r="G36" s="50"/>
      <c r="I36" s="42"/>
      <c r="J36" s="42"/>
      <c r="K36" s="42"/>
      <c r="L36" s="42"/>
      <c r="M36" s="50"/>
      <c r="N36" s="50"/>
      <c r="O36" s="42"/>
    </row>
    <row r="37" spans="1:15" ht="15.6" x14ac:dyDescent="0.3">
      <c r="A37" s="41"/>
      <c r="B37" s="41"/>
      <c r="C37" s="56"/>
      <c r="I37" s="41"/>
      <c r="J37" s="41"/>
      <c r="K37" s="41"/>
    </row>
    <row r="38" spans="1:15" ht="15.6" x14ac:dyDescent="0.3">
      <c r="A38" s="41"/>
      <c r="B38" s="41"/>
      <c r="I38" s="41"/>
      <c r="J38" s="41"/>
    </row>
    <row r="39" spans="1:15" ht="15.6" x14ac:dyDescent="0.3">
      <c r="A39" s="41"/>
      <c r="B39" s="41"/>
      <c r="I39" s="41"/>
      <c r="J39" s="41"/>
    </row>
  </sheetData>
  <mergeCells count="12">
    <mergeCell ref="I4:O4"/>
    <mergeCell ref="I5:O5"/>
    <mergeCell ref="I11:I12"/>
    <mergeCell ref="J11:J12"/>
    <mergeCell ref="L11:M11"/>
    <mergeCell ref="O11:O12"/>
    <mergeCell ref="A4:G4"/>
    <mergeCell ref="A5:G5"/>
    <mergeCell ref="A11:A12"/>
    <mergeCell ref="B11:B12"/>
    <mergeCell ref="D11:E11"/>
    <mergeCell ref="G11:G12"/>
  </mergeCells>
  <pageMargins left="0.23622047244094491" right="0.19685039370078741" top="0.94488188976377963" bottom="0.74803149606299213" header="0.31496062992125984" footer="0.31496062992125984"/>
  <pageSetup paperSize="9" scale="75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0EF1-CB47-4650-9D4A-E032761D034D}">
  <sheetPr>
    <tabColor rgb="FF00B050"/>
  </sheetPr>
  <dimension ref="A1:O39"/>
  <sheetViews>
    <sheetView zoomScale="73" workbookViewId="0">
      <selection sqref="A1:O40"/>
    </sheetView>
  </sheetViews>
  <sheetFormatPr defaultRowHeight="14.4" x14ac:dyDescent="0.3"/>
  <cols>
    <col min="1" max="1" width="15.88671875" customWidth="1"/>
    <col min="2" max="2" width="22.109375" customWidth="1"/>
    <col min="3" max="3" width="13" style="2" customWidth="1"/>
    <col min="4" max="4" width="13" style="74" customWidth="1"/>
    <col min="5" max="5" width="25.6640625" style="2" customWidth="1"/>
    <col min="6" max="6" width="12.88671875" customWidth="1"/>
    <col min="7" max="7" width="25.5546875" style="2" customWidth="1"/>
    <col min="8" max="8" width="2" customWidth="1"/>
    <col min="9" max="9" width="14.6640625" customWidth="1"/>
    <col min="10" max="10" width="22.109375" customWidth="1"/>
    <col min="11" max="11" width="13" customWidth="1"/>
    <col min="12" max="12" width="13" style="2" customWidth="1"/>
    <col min="13" max="13" width="25.6640625" style="2" customWidth="1"/>
    <col min="14" max="14" width="15.33203125" style="2" customWidth="1"/>
    <col min="15" max="15" width="23.77734375" customWidth="1"/>
  </cols>
  <sheetData>
    <row r="1" spans="1:15" ht="42" x14ac:dyDescent="0.3">
      <c r="G1" s="62" t="s">
        <v>0</v>
      </c>
      <c r="O1" s="1" t="s">
        <v>0</v>
      </c>
    </row>
    <row r="2" spans="1:15" ht="21" x14ac:dyDescent="0.3">
      <c r="G2" s="62"/>
      <c r="O2" s="1"/>
    </row>
    <row r="4" spans="1:15" ht="17.399999999999999" x14ac:dyDescent="0.3">
      <c r="A4" s="102" t="s">
        <v>1</v>
      </c>
      <c r="B4" s="102"/>
      <c r="C4" s="102"/>
      <c r="D4" s="102"/>
      <c r="E4" s="102"/>
      <c r="F4" s="102"/>
      <c r="G4" s="102"/>
      <c r="I4" s="102" t="s">
        <v>1</v>
      </c>
      <c r="J4" s="102"/>
      <c r="K4" s="102"/>
      <c r="L4" s="102"/>
      <c r="M4" s="102"/>
      <c r="N4" s="102"/>
      <c r="O4" s="102"/>
    </row>
    <row r="5" spans="1:15" x14ac:dyDescent="0.3">
      <c r="A5" s="103"/>
      <c r="B5" s="103"/>
      <c r="C5" s="103"/>
      <c r="D5" s="103"/>
      <c r="E5" s="103"/>
      <c r="F5" s="103"/>
      <c r="G5" s="103"/>
      <c r="I5" s="103"/>
      <c r="J5" s="103"/>
      <c r="K5" s="103"/>
      <c r="L5" s="103"/>
      <c r="M5" s="103"/>
      <c r="N5" s="103"/>
      <c r="O5" s="103"/>
    </row>
    <row r="6" spans="1:15" ht="15.6" x14ac:dyDescent="0.3">
      <c r="A6" s="3" t="s">
        <v>20</v>
      </c>
      <c r="C6" s="4"/>
      <c r="D6" s="73"/>
      <c r="E6" s="4"/>
      <c r="F6" s="3" t="s">
        <v>2</v>
      </c>
      <c r="G6" s="4"/>
      <c r="I6" s="3" t="s">
        <v>20</v>
      </c>
      <c r="K6" s="4"/>
      <c r="L6" s="4"/>
      <c r="M6" s="4"/>
      <c r="N6" s="4" t="s">
        <v>2</v>
      </c>
      <c r="O6" s="4"/>
    </row>
    <row r="7" spans="1:15" ht="15" thickBot="1" x14ac:dyDescent="0.35">
      <c r="A7" s="2"/>
      <c r="B7" s="2"/>
      <c r="F7" s="2"/>
      <c r="I7" s="2"/>
      <c r="J7" s="2"/>
      <c r="K7" s="2"/>
      <c r="O7" s="2"/>
    </row>
    <row r="8" spans="1:15" ht="18" x14ac:dyDescent="0.35">
      <c r="A8" s="5" t="s">
        <v>3</v>
      </c>
      <c r="B8" s="6" t="s">
        <v>21</v>
      </c>
      <c r="C8" s="52"/>
      <c r="D8" s="75"/>
      <c r="E8" s="63"/>
      <c r="F8" s="9" t="s">
        <v>4</v>
      </c>
      <c r="G8" s="63" t="s">
        <v>98</v>
      </c>
      <c r="I8" s="5" t="s">
        <v>3</v>
      </c>
      <c r="J8" s="6" t="s">
        <v>71</v>
      </c>
      <c r="K8" s="6"/>
      <c r="L8" s="80"/>
      <c r="M8" s="63"/>
      <c r="N8" s="66" t="s">
        <v>4</v>
      </c>
      <c r="O8" s="8" t="s">
        <v>107</v>
      </c>
    </row>
    <row r="9" spans="1:15" ht="18" x14ac:dyDescent="0.35">
      <c r="A9" s="10" t="s">
        <v>5</v>
      </c>
      <c r="B9" s="11" t="s">
        <v>99</v>
      </c>
      <c r="C9" s="53"/>
      <c r="D9" s="76"/>
      <c r="E9" s="64"/>
      <c r="F9" s="14" t="s">
        <v>6</v>
      </c>
      <c r="G9" s="64"/>
      <c r="I9" s="10" t="s">
        <v>5</v>
      </c>
      <c r="J9" s="11" t="str">
        <f>B9</f>
        <v>MAKABANSA GR. 1</v>
      </c>
      <c r="K9" s="11"/>
      <c r="L9" s="81"/>
      <c r="M9" s="64"/>
      <c r="N9" s="67" t="s">
        <v>6</v>
      </c>
      <c r="O9" s="13"/>
    </row>
    <row r="10" spans="1:15" ht="16.2" thickBot="1" x14ac:dyDescent="0.35">
      <c r="A10" s="15" t="s">
        <v>7</v>
      </c>
      <c r="B10" s="16"/>
      <c r="C10" s="54" t="s">
        <v>87</v>
      </c>
      <c r="D10" s="77"/>
      <c r="E10" s="69"/>
      <c r="F10" s="19"/>
      <c r="G10" s="65"/>
      <c r="I10" s="15" t="s">
        <v>7</v>
      </c>
      <c r="J10" s="16"/>
      <c r="K10" s="16" t="str">
        <f>C10</f>
        <v>COPY/IES</v>
      </c>
      <c r="L10" s="82"/>
      <c r="M10" s="69"/>
      <c r="N10" s="68"/>
      <c r="O10" s="20"/>
    </row>
    <row r="11" spans="1:15" ht="16.8" thickBot="1" x14ac:dyDescent="0.35">
      <c r="A11" s="104" t="s">
        <v>9</v>
      </c>
      <c r="B11" s="104" t="s">
        <v>10</v>
      </c>
      <c r="C11" s="22" t="s">
        <v>11</v>
      </c>
      <c r="D11" s="106" t="s">
        <v>12</v>
      </c>
      <c r="E11" s="107"/>
      <c r="F11" s="23" t="s">
        <v>13</v>
      </c>
      <c r="G11" s="108" t="s">
        <v>14</v>
      </c>
      <c r="I11" s="104" t="s">
        <v>9</v>
      </c>
      <c r="J11" s="104" t="s">
        <v>10</v>
      </c>
      <c r="K11" s="22" t="s">
        <v>11</v>
      </c>
      <c r="L11" s="106" t="s">
        <v>12</v>
      </c>
      <c r="M11" s="107"/>
      <c r="N11" s="23" t="s">
        <v>13</v>
      </c>
      <c r="O11" s="108" t="s">
        <v>14</v>
      </c>
    </row>
    <row r="12" spans="1:15" ht="16.2" thickBot="1" x14ac:dyDescent="0.35">
      <c r="A12" s="105"/>
      <c r="B12" s="105"/>
      <c r="C12" s="25" t="s">
        <v>15</v>
      </c>
      <c r="D12" s="47" t="s">
        <v>15</v>
      </c>
      <c r="E12" s="27" t="s">
        <v>36</v>
      </c>
      <c r="F12" s="48" t="s">
        <v>15</v>
      </c>
      <c r="G12" s="109"/>
      <c r="I12" s="115"/>
      <c r="J12" s="105"/>
      <c r="K12" s="25" t="s">
        <v>15</v>
      </c>
      <c r="L12" s="47" t="s">
        <v>15</v>
      </c>
      <c r="M12" s="27" t="s">
        <v>36</v>
      </c>
      <c r="N12" s="48" t="s">
        <v>15</v>
      </c>
      <c r="O12" s="109"/>
    </row>
    <row r="13" spans="1:15" ht="18.600000000000001" thickBot="1" x14ac:dyDescent="0.4">
      <c r="A13" s="44" t="s">
        <v>100</v>
      </c>
      <c r="B13" s="71" t="s">
        <v>101</v>
      </c>
      <c r="C13" s="55">
        <f>1845+1688</f>
        <v>3533</v>
      </c>
      <c r="D13" s="78"/>
      <c r="E13" s="55"/>
      <c r="F13" s="45">
        <f>C13-D13</f>
        <v>3533</v>
      </c>
      <c r="G13" s="49" t="s">
        <v>73</v>
      </c>
      <c r="I13" s="44" t="str">
        <f>A13</f>
        <v>3/21/2025</v>
      </c>
      <c r="J13" s="71" t="s">
        <v>101</v>
      </c>
      <c r="K13" s="46">
        <f>21+18</f>
        <v>39</v>
      </c>
      <c r="L13" s="49"/>
      <c r="M13" s="55"/>
      <c r="N13" s="49">
        <f>K13-L13</f>
        <v>39</v>
      </c>
      <c r="O13" s="49" t="s">
        <v>73</v>
      </c>
    </row>
    <row r="14" spans="1:15" ht="18" x14ac:dyDescent="0.35">
      <c r="A14" s="43" t="s">
        <v>103</v>
      </c>
      <c r="B14" s="71" t="s">
        <v>102</v>
      </c>
      <c r="C14" s="50">
        <f>F13</f>
        <v>3533</v>
      </c>
      <c r="D14" s="79">
        <v>315</v>
      </c>
      <c r="E14" s="55" t="s">
        <v>54</v>
      </c>
      <c r="F14" s="45">
        <f>C14-D14</f>
        <v>3218</v>
      </c>
      <c r="G14" s="50" t="s">
        <v>73</v>
      </c>
      <c r="I14" s="43" t="str">
        <f>A14</f>
        <v>3/26/2025</v>
      </c>
      <c r="J14" s="71" t="s">
        <v>102</v>
      </c>
      <c r="K14" s="42">
        <f>N13</f>
        <v>39</v>
      </c>
      <c r="L14" s="50">
        <v>3</v>
      </c>
      <c r="M14" s="55" t="s">
        <v>54</v>
      </c>
      <c r="N14" s="49">
        <f>K14-L14</f>
        <v>36</v>
      </c>
      <c r="O14" s="50" t="s">
        <v>73</v>
      </c>
    </row>
    <row r="15" spans="1:15" ht="18" x14ac:dyDescent="0.35">
      <c r="A15" s="43" t="s">
        <v>103</v>
      </c>
      <c r="B15" s="71"/>
      <c r="C15" s="50">
        <f t="shared" ref="C15:C37" si="0">F14</f>
        <v>3218</v>
      </c>
      <c r="D15" s="79">
        <v>78</v>
      </c>
      <c r="E15" s="50" t="s">
        <v>37</v>
      </c>
      <c r="F15" s="45">
        <f>C15-D15</f>
        <v>3140</v>
      </c>
      <c r="G15" s="50" t="s">
        <v>73</v>
      </c>
      <c r="I15" s="43" t="str">
        <f t="shared" ref="I15:I37" si="1">A15</f>
        <v>3/26/2025</v>
      </c>
      <c r="J15" s="71"/>
      <c r="K15" s="42">
        <f t="shared" ref="K15:K37" si="2">N14</f>
        <v>36</v>
      </c>
      <c r="L15" s="50">
        <v>1</v>
      </c>
      <c r="M15" s="50" t="s">
        <v>37</v>
      </c>
      <c r="N15" s="49">
        <f t="shared" ref="N15:N37" si="3">K15-L15</f>
        <v>35</v>
      </c>
      <c r="O15" s="50" t="s">
        <v>73</v>
      </c>
    </row>
    <row r="16" spans="1:15" ht="18" x14ac:dyDescent="0.35">
      <c r="A16" s="43" t="s">
        <v>103</v>
      </c>
      <c r="B16" s="42"/>
      <c r="C16" s="50">
        <f t="shared" si="0"/>
        <v>3140</v>
      </c>
      <c r="D16" s="79">
        <v>173</v>
      </c>
      <c r="E16" s="50" t="s">
        <v>38</v>
      </c>
      <c r="F16" s="45">
        <f t="shared" ref="F16:F37" si="4">C16-D16</f>
        <v>2967</v>
      </c>
      <c r="G16" s="50" t="s">
        <v>73</v>
      </c>
      <c r="I16" s="43" t="str">
        <f t="shared" si="1"/>
        <v>3/26/2025</v>
      </c>
      <c r="J16" s="42"/>
      <c r="K16" s="42">
        <f t="shared" si="2"/>
        <v>35</v>
      </c>
      <c r="L16" s="50">
        <v>2</v>
      </c>
      <c r="M16" s="50" t="s">
        <v>38</v>
      </c>
      <c r="N16" s="49">
        <f t="shared" si="3"/>
        <v>33</v>
      </c>
      <c r="O16" s="50" t="s">
        <v>73</v>
      </c>
    </row>
    <row r="17" spans="1:15" ht="18" x14ac:dyDescent="0.35">
      <c r="A17" s="43" t="s">
        <v>106</v>
      </c>
      <c r="B17" s="42"/>
      <c r="C17" s="50">
        <f t="shared" si="0"/>
        <v>2967</v>
      </c>
      <c r="D17" s="79">
        <v>82</v>
      </c>
      <c r="E17" s="50" t="s">
        <v>39</v>
      </c>
      <c r="F17" s="45">
        <f t="shared" si="4"/>
        <v>2885</v>
      </c>
      <c r="G17" s="50" t="s">
        <v>73</v>
      </c>
      <c r="I17" s="43" t="str">
        <f t="shared" si="1"/>
        <v>3/28/2025</v>
      </c>
      <c r="J17" s="42"/>
      <c r="K17" s="42">
        <f t="shared" si="2"/>
        <v>33</v>
      </c>
      <c r="L17" s="50">
        <v>1</v>
      </c>
      <c r="M17" s="50" t="s">
        <v>39</v>
      </c>
      <c r="N17" s="49">
        <f t="shared" si="3"/>
        <v>32</v>
      </c>
      <c r="O17" s="50" t="s">
        <v>73</v>
      </c>
    </row>
    <row r="18" spans="1:15" ht="18" x14ac:dyDescent="0.35">
      <c r="A18" s="43" t="s">
        <v>104</v>
      </c>
      <c r="B18" s="42"/>
      <c r="C18" s="50">
        <f t="shared" si="0"/>
        <v>2885</v>
      </c>
      <c r="D18" s="79">
        <v>197</v>
      </c>
      <c r="E18" s="50" t="s">
        <v>40</v>
      </c>
      <c r="F18" s="45">
        <f t="shared" si="4"/>
        <v>2688</v>
      </c>
      <c r="G18" s="50" t="s">
        <v>73</v>
      </c>
      <c r="I18" s="43" t="str">
        <f t="shared" si="1"/>
        <v>3/24/2025</v>
      </c>
      <c r="J18" s="42"/>
      <c r="K18" s="42">
        <f t="shared" si="2"/>
        <v>32</v>
      </c>
      <c r="L18" s="50">
        <v>2</v>
      </c>
      <c r="M18" s="50" t="s">
        <v>40</v>
      </c>
      <c r="N18" s="49">
        <f t="shared" si="3"/>
        <v>30</v>
      </c>
      <c r="O18" s="50" t="s">
        <v>73</v>
      </c>
    </row>
    <row r="19" spans="1:15" ht="18" x14ac:dyDescent="0.35">
      <c r="A19" s="43" t="s">
        <v>106</v>
      </c>
      <c r="B19" s="42"/>
      <c r="C19" s="50">
        <f t="shared" si="0"/>
        <v>2688</v>
      </c>
      <c r="D19" s="79">
        <v>44</v>
      </c>
      <c r="E19" s="50" t="s">
        <v>55</v>
      </c>
      <c r="F19" s="45">
        <f t="shared" si="4"/>
        <v>2644</v>
      </c>
      <c r="G19" s="50" t="s">
        <v>73</v>
      </c>
      <c r="I19" s="43" t="str">
        <f t="shared" si="1"/>
        <v>3/28/2025</v>
      </c>
      <c r="J19" s="42"/>
      <c r="K19" s="42">
        <f t="shared" si="2"/>
        <v>30</v>
      </c>
      <c r="L19" s="50">
        <v>1</v>
      </c>
      <c r="M19" s="50" t="s">
        <v>55</v>
      </c>
      <c r="N19" s="49">
        <f t="shared" si="3"/>
        <v>29</v>
      </c>
      <c r="O19" s="50" t="s">
        <v>73</v>
      </c>
    </row>
    <row r="20" spans="1:15" ht="18" x14ac:dyDescent="0.35">
      <c r="A20" s="43" t="s">
        <v>106</v>
      </c>
      <c r="B20" s="42"/>
      <c r="C20" s="50">
        <f t="shared" si="0"/>
        <v>2644</v>
      </c>
      <c r="D20" s="79">
        <v>217</v>
      </c>
      <c r="E20" s="50" t="s">
        <v>56</v>
      </c>
      <c r="F20" s="45">
        <f t="shared" si="4"/>
        <v>2427</v>
      </c>
      <c r="G20" s="50" t="s">
        <v>73</v>
      </c>
      <c r="I20" s="43" t="str">
        <f t="shared" si="1"/>
        <v>3/28/2025</v>
      </c>
      <c r="J20" s="42"/>
      <c r="K20" s="42">
        <f t="shared" si="2"/>
        <v>29</v>
      </c>
      <c r="L20" s="50">
        <v>3</v>
      </c>
      <c r="M20" s="50" t="s">
        <v>56</v>
      </c>
      <c r="N20" s="49">
        <f t="shared" si="3"/>
        <v>26</v>
      </c>
      <c r="O20" s="50" t="s">
        <v>73</v>
      </c>
    </row>
    <row r="21" spans="1:15" ht="18" x14ac:dyDescent="0.35">
      <c r="A21" s="43" t="s">
        <v>103</v>
      </c>
      <c r="B21" s="42"/>
      <c r="C21" s="50">
        <f t="shared" si="0"/>
        <v>2427</v>
      </c>
      <c r="D21" s="79">
        <v>133</v>
      </c>
      <c r="E21" s="50" t="s">
        <v>57</v>
      </c>
      <c r="F21" s="45">
        <f t="shared" si="4"/>
        <v>2294</v>
      </c>
      <c r="G21" s="50" t="s">
        <v>73</v>
      </c>
      <c r="I21" s="43" t="str">
        <f t="shared" si="1"/>
        <v>3/26/2025</v>
      </c>
      <c r="J21" s="42"/>
      <c r="K21" s="42">
        <f t="shared" si="2"/>
        <v>26</v>
      </c>
      <c r="L21" s="50">
        <v>1</v>
      </c>
      <c r="M21" s="50" t="s">
        <v>57</v>
      </c>
      <c r="N21" s="49">
        <f t="shared" si="3"/>
        <v>25</v>
      </c>
      <c r="O21" s="50" t="s">
        <v>73</v>
      </c>
    </row>
    <row r="22" spans="1:15" ht="18" x14ac:dyDescent="0.35">
      <c r="A22" s="43" t="s">
        <v>104</v>
      </c>
      <c r="B22" s="42"/>
      <c r="C22" s="50">
        <f t="shared" si="0"/>
        <v>2294</v>
      </c>
      <c r="D22" s="79">
        <v>25</v>
      </c>
      <c r="E22" s="50" t="s">
        <v>45</v>
      </c>
      <c r="F22" s="45">
        <f t="shared" si="4"/>
        <v>2269</v>
      </c>
      <c r="G22" s="50" t="s">
        <v>73</v>
      </c>
      <c r="I22" s="43" t="str">
        <f t="shared" si="1"/>
        <v>3/24/2025</v>
      </c>
      <c r="J22" s="42"/>
      <c r="K22" s="42">
        <f t="shared" si="2"/>
        <v>25</v>
      </c>
      <c r="L22" s="50">
        <v>1</v>
      </c>
      <c r="M22" s="50" t="s">
        <v>45</v>
      </c>
      <c r="N22" s="49">
        <f t="shared" si="3"/>
        <v>24</v>
      </c>
      <c r="O22" s="50" t="s">
        <v>73</v>
      </c>
    </row>
    <row r="23" spans="1:15" ht="18" x14ac:dyDescent="0.35">
      <c r="A23" s="43" t="s">
        <v>104</v>
      </c>
      <c r="B23" s="42"/>
      <c r="C23" s="50">
        <f t="shared" si="0"/>
        <v>2269</v>
      </c>
      <c r="D23" s="79">
        <v>224</v>
      </c>
      <c r="E23" s="50" t="s">
        <v>46</v>
      </c>
      <c r="F23" s="45">
        <f t="shared" si="4"/>
        <v>2045</v>
      </c>
      <c r="G23" s="50" t="s">
        <v>73</v>
      </c>
      <c r="I23" s="43" t="str">
        <f t="shared" si="1"/>
        <v>3/24/2025</v>
      </c>
      <c r="J23" s="42"/>
      <c r="K23" s="42">
        <f t="shared" si="2"/>
        <v>24</v>
      </c>
      <c r="L23" s="50">
        <v>2</v>
      </c>
      <c r="M23" s="50" t="s">
        <v>46</v>
      </c>
      <c r="N23" s="49">
        <f t="shared" si="3"/>
        <v>22</v>
      </c>
      <c r="O23" s="50" t="s">
        <v>73</v>
      </c>
    </row>
    <row r="24" spans="1:15" ht="18" x14ac:dyDescent="0.35">
      <c r="A24" s="43" t="s">
        <v>104</v>
      </c>
      <c r="B24" s="42"/>
      <c r="C24" s="50">
        <f t="shared" si="0"/>
        <v>2045</v>
      </c>
      <c r="D24" s="79">
        <v>78</v>
      </c>
      <c r="E24" s="50" t="s">
        <v>58</v>
      </c>
      <c r="F24" s="45">
        <f t="shared" si="4"/>
        <v>1967</v>
      </c>
      <c r="G24" s="50" t="s">
        <v>73</v>
      </c>
      <c r="I24" s="43" t="str">
        <f t="shared" si="1"/>
        <v>3/24/2025</v>
      </c>
      <c r="J24" s="42"/>
      <c r="K24" s="42">
        <f t="shared" si="2"/>
        <v>22</v>
      </c>
      <c r="L24" s="50">
        <v>1</v>
      </c>
      <c r="M24" s="50" t="s">
        <v>58</v>
      </c>
      <c r="N24" s="49">
        <f t="shared" si="3"/>
        <v>21</v>
      </c>
      <c r="O24" s="50" t="s">
        <v>73</v>
      </c>
    </row>
    <row r="25" spans="1:15" ht="18" x14ac:dyDescent="0.35">
      <c r="A25" s="43" t="s">
        <v>104</v>
      </c>
      <c r="B25" s="42"/>
      <c r="C25" s="50">
        <f t="shared" si="0"/>
        <v>1967</v>
      </c>
      <c r="D25" s="79">
        <v>228</v>
      </c>
      <c r="E25" s="50" t="s">
        <v>47</v>
      </c>
      <c r="F25" s="45">
        <f t="shared" si="4"/>
        <v>1739</v>
      </c>
      <c r="G25" s="50" t="s">
        <v>73</v>
      </c>
      <c r="I25" s="43" t="str">
        <f t="shared" si="1"/>
        <v>3/24/2025</v>
      </c>
      <c r="J25" s="42"/>
      <c r="K25" s="42">
        <f t="shared" si="2"/>
        <v>21</v>
      </c>
      <c r="L25" s="50">
        <v>2</v>
      </c>
      <c r="M25" s="50" t="s">
        <v>47</v>
      </c>
      <c r="N25" s="49">
        <f t="shared" si="3"/>
        <v>19</v>
      </c>
      <c r="O25" s="50" t="s">
        <v>73</v>
      </c>
    </row>
    <row r="26" spans="1:15" ht="18" x14ac:dyDescent="0.35">
      <c r="A26" s="43" t="s">
        <v>103</v>
      </c>
      <c r="B26" s="42"/>
      <c r="C26" s="50">
        <f t="shared" si="0"/>
        <v>1739</v>
      </c>
      <c r="D26" s="79">
        <v>169</v>
      </c>
      <c r="E26" s="50" t="s">
        <v>59</v>
      </c>
      <c r="F26" s="45">
        <f t="shared" si="4"/>
        <v>1570</v>
      </c>
      <c r="G26" s="50" t="s">
        <v>73</v>
      </c>
      <c r="I26" s="43" t="str">
        <f t="shared" si="1"/>
        <v>3/26/2025</v>
      </c>
      <c r="J26" s="42"/>
      <c r="K26" s="42">
        <f t="shared" si="2"/>
        <v>19</v>
      </c>
      <c r="L26" s="50">
        <v>2</v>
      </c>
      <c r="M26" s="50" t="s">
        <v>59</v>
      </c>
      <c r="N26" s="49">
        <f t="shared" si="3"/>
        <v>17</v>
      </c>
      <c r="O26" s="50" t="s">
        <v>73</v>
      </c>
    </row>
    <row r="27" spans="1:15" ht="18" x14ac:dyDescent="0.35">
      <c r="A27" s="43">
        <v>45751</v>
      </c>
      <c r="B27" s="42"/>
      <c r="C27" s="50">
        <f t="shared" si="0"/>
        <v>1570</v>
      </c>
      <c r="D27" s="79">
        <v>115</v>
      </c>
      <c r="E27" s="50" t="s">
        <v>60</v>
      </c>
      <c r="F27" s="45">
        <f t="shared" si="4"/>
        <v>1455</v>
      </c>
      <c r="G27" s="50" t="s">
        <v>73</v>
      </c>
      <c r="I27" s="43">
        <f t="shared" si="1"/>
        <v>45751</v>
      </c>
      <c r="J27" s="42"/>
      <c r="K27" s="42">
        <f t="shared" si="2"/>
        <v>17</v>
      </c>
      <c r="L27" s="50">
        <v>1</v>
      </c>
      <c r="M27" s="50" t="s">
        <v>60</v>
      </c>
      <c r="N27" s="49">
        <f t="shared" si="3"/>
        <v>16</v>
      </c>
      <c r="O27" s="50" t="s">
        <v>73</v>
      </c>
    </row>
    <row r="28" spans="1:15" ht="18" x14ac:dyDescent="0.35">
      <c r="A28" s="42" t="s">
        <v>103</v>
      </c>
      <c r="B28" s="42"/>
      <c r="C28" s="50">
        <f>F27</f>
        <v>1455</v>
      </c>
      <c r="D28" s="79">
        <v>237</v>
      </c>
      <c r="E28" s="50" t="s">
        <v>80</v>
      </c>
      <c r="F28" s="45">
        <f t="shared" si="4"/>
        <v>1218</v>
      </c>
      <c r="G28" s="50" t="s">
        <v>73</v>
      </c>
      <c r="I28" s="43" t="str">
        <f t="shared" si="1"/>
        <v>3/26/2025</v>
      </c>
      <c r="J28" s="42"/>
      <c r="K28" s="42">
        <f t="shared" si="2"/>
        <v>16</v>
      </c>
      <c r="L28" s="50">
        <v>2</v>
      </c>
      <c r="M28" s="50" t="s">
        <v>80</v>
      </c>
      <c r="N28" s="49">
        <f t="shared" si="3"/>
        <v>14</v>
      </c>
      <c r="O28" s="50" t="s">
        <v>73</v>
      </c>
    </row>
    <row r="29" spans="1:15" ht="18" x14ac:dyDescent="0.35">
      <c r="A29" s="43" t="s">
        <v>104</v>
      </c>
      <c r="B29" s="42"/>
      <c r="C29" s="50">
        <f t="shared" si="0"/>
        <v>1218</v>
      </c>
      <c r="D29" s="79">
        <v>238</v>
      </c>
      <c r="E29" s="50" t="s">
        <v>62</v>
      </c>
      <c r="F29" s="45">
        <f t="shared" si="4"/>
        <v>980</v>
      </c>
      <c r="G29" s="50" t="s">
        <v>73</v>
      </c>
      <c r="I29" s="43" t="str">
        <f t="shared" si="1"/>
        <v>3/24/2025</v>
      </c>
      <c r="J29" s="42"/>
      <c r="K29" s="42">
        <f t="shared" si="2"/>
        <v>14</v>
      </c>
      <c r="L29" s="50">
        <v>2</v>
      </c>
      <c r="M29" s="50" t="s">
        <v>62</v>
      </c>
      <c r="N29" s="49">
        <f t="shared" si="3"/>
        <v>12</v>
      </c>
      <c r="O29" s="50" t="s">
        <v>73</v>
      </c>
    </row>
    <row r="30" spans="1:15" ht="18" x14ac:dyDescent="0.35">
      <c r="A30" s="43" t="s">
        <v>104</v>
      </c>
      <c r="B30" s="42"/>
      <c r="C30" s="50">
        <f t="shared" si="0"/>
        <v>980</v>
      </c>
      <c r="D30" s="79">
        <v>58</v>
      </c>
      <c r="E30" s="50" t="s">
        <v>63</v>
      </c>
      <c r="F30" s="45">
        <f t="shared" si="4"/>
        <v>922</v>
      </c>
      <c r="G30" s="50" t="s">
        <v>73</v>
      </c>
      <c r="I30" s="43" t="str">
        <f t="shared" si="1"/>
        <v>3/24/2025</v>
      </c>
      <c r="J30" s="42"/>
      <c r="K30" s="42">
        <f t="shared" si="2"/>
        <v>12</v>
      </c>
      <c r="L30" s="50">
        <v>1</v>
      </c>
      <c r="M30" s="50" t="s">
        <v>63</v>
      </c>
      <c r="N30" s="49">
        <f t="shared" si="3"/>
        <v>11</v>
      </c>
      <c r="O30" s="50" t="s">
        <v>73</v>
      </c>
    </row>
    <row r="31" spans="1:15" ht="18" x14ac:dyDescent="0.35">
      <c r="A31" s="42" t="s">
        <v>103</v>
      </c>
      <c r="B31" s="42"/>
      <c r="C31" s="50">
        <f t="shared" si="0"/>
        <v>922</v>
      </c>
      <c r="D31" s="79">
        <v>151</v>
      </c>
      <c r="E31" s="50" t="s">
        <v>64</v>
      </c>
      <c r="F31" s="45">
        <f t="shared" si="4"/>
        <v>771</v>
      </c>
      <c r="G31" s="50" t="s">
        <v>73</v>
      </c>
      <c r="I31" s="43" t="str">
        <f t="shared" si="1"/>
        <v>3/26/2025</v>
      </c>
      <c r="J31" s="42"/>
      <c r="K31" s="42">
        <f t="shared" si="2"/>
        <v>11</v>
      </c>
      <c r="L31" s="50">
        <v>2</v>
      </c>
      <c r="M31" s="50" t="s">
        <v>64</v>
      </c>
      <c r="N31" s="49">
        <f t="shared" si="3"/>
        <v>9</v>
      </c>
      <c r="O31" s="50" t="s">
        <v>73</v>
      </c>
    </row>
    <row r="32" spans="1:15" ht="18" x14ac:dyDescent="0.35">
      <c r="A32" s="42" t="s">
        <v>104</v>
      </c>
      <c r="B32" s="42"/>
      <c r="C32" s="50">
        <f t="shared" si="0"/>
        <v>771</v>
      </c>
      <c r="D32" s="79">
        <v>81</v>
      </c>
      <c r="E32" s="50" t="s">
        <v>65</v>
      </c>
      <c r="F32" s="45">
        <f>C32-D32</f>
        <v>690</v>
      </c>
      <c r="G32" s="50" t="s">
        <v>73</v>
      </c>
      <c r="I32" s="43" t="str">
        <f t="shared" si="1"/>
        <v>3/24/2025</v>
      </c>
      <c r="J32" s="42"/>
      <c r="K32" s="42">
        <f t="shared" si="2"/>
        <v>9</v>
      </c>
      <c r="L32" s="50">
        <v>1</v>
      </c>
      <c r="M32" s="50" t="s">
        <v>65</v>
      </c>
      <c r="N32" s="49">
        <f t="shared" si="3"/>
        <v>8</v>
      </c>
      <c r="O32" s="50" t="s">
        <v>73</v>
      </c>
    </row>
    <row r="33" spans="1:15" ht="18" x14ac:dyDescent="0.35">
      <c r="A33" s="42" t="s">
        <v>103</v>
      </c>
      <c r="B33" s="42"/>
      <c r="C33" s="50">
        <f t="shared" si="0"/>
        <v>690</v>
      </c>
      <c r="D33" s="79">
        <v>292</v>
      </c>
      <c r="E33" s="50" t="s">
        <v>66</v>
      </c>
      <c r="F33" s="45">
        <f t="shared" si="4"/>
        <v>398</v>
      </c>
      <c r="G33" s="50" t="s">
        <v>73</v>
      </c>
      <c r="I33" s="43" t="str">
        <f t="shared" si="1"/>
        <v>3/26/2025</v>
      </c>
      <c r="J33" s="42"/>
      <c r="K33" s="42">
        <f t="shared" si="2"/>
        <v>8</v>
      </c>
      <c r="L33" s="50">
        <v>3</v>
      </c>
      <c r="M33" s="50" t="s">
        <v>66</v>
      </c>
      <c r="N33" s="49">
        <f t="shared" si="3"/>
        <v>5</v>
      </c>
      <c r="O33" s="50" t="s">
        <v>73</v>
      </c>
    </row>
    <row r="34" spans="1:15" ht="18" x14ac:dyDescent="0.35">
      <c r="A34" s="42" t="s">
        <v>104</v>
      </c>
      <c r="B34" s="42"/>
      <c r="C34" s="50">
        <f t="shared" si="0"/>
        <v>398</v>
      </c>
      <c r="D34" s="79">
        <v>212</v>
      </c>
      <c r="E34" s="50" t="s">
        <v>67</v>
      </c>
      <c r="F34" s="45">
        <f t="shared" si="4"/>
        <v>186</v>
      </c>
      <c r="G34" s="50" t="s">
        <v>73</v>
      </c>
      <c r="I34" s="43" t="str">
        <f t="shared" si="1"/>
        <v>3/24/2025</v>
      </c>
      <c r="J34" s="42"/>
      <c r="K34" s="42">
        <f t="shared" si="2"/>
        <v>5</v>
      </c>
      <c r="L34" s="50">
        <v>2</v>
      </c>
      <c r="M34" s="50" t="s">
        <v>67</v>
      </c>
      <c r="N34" s="49">
        <f t="shared" si="3"/>
        <v>3</v>
      </c>
      <c r="O34" s="50" t="s">
        <v>73</v>
      </c>
    </row>
    <row r="35" spans="1:15" ht="18" x14ac:dyDescent="0.35">
      <c r="A35" s="42" t="s">
        <v>104</v>
      </c>
      <c r="B35" s="42"/>
      <c r="C35" s="50">
        <f t="shared" si="0"/>
        <v>186</v>
      </c>
      <c r="D35" s="79">
        <f>196-78</f>
        <v>118</v>
      </c>
      <c r="E35" s="50" t="s">
        <v>50</v>
      </c>
      <c r="F35" s="45">
        <f t="shared" si="4"/>
        <v>68</v>
      </c>
      <c r="G35" s="50" t="s">
        <v>73</v>
      </c>
      <c r="I35" s="43" t="str">
        <f t="shared" si="1"/>
        <v>3/24/2025</v>
      </c>
      <c r="J35" s="42"/>
      <c r="K35" s="42">
        <f t="shared" si="2"/>
        <v>3</v>
      </c>
      <c r="L35" s="50">
        <v>1</v>
      </c>
      <c r="M35" s="50" t="s">
        <v>50</v>
      </c>
      <c r="N35" s="49">
        <f t="shared" si="3"/>
        <v>2</v>
      </c>
      <c r="O35" s="50" t="s">
        <v>73</v>
      </c>
    </row>
    <row r="36" spans="1:15" ht="18" x14ac:dyDescent="0.35">
      <c r="A36" s="83" t="s">
        <v>103</v>
      </c>
      <c r="B36" s="42"/>
      <c r="C36" s="50">
        <f t="shared" si="0"/>
        <v>68</v>
      </c>
      <c r="D36" s="90">
        <v>67</v>
      </c>
      <c r="E36" s="84" t="s">
        <v>68</v>
      </c>
      <c r="F36" s="45">
        <f t="shared" si="4"/>
        <v>1</v>
      </c>
      <c r="G36" s="50" t="s">
        <v>73</v>
      </c>
      <c r="I36" s="43" t="str">
        <f t="shared" si="1"/>
        <v>3/26/2025</v>
      </c>
      <c r="J36" s="42"/>
      <c r="K36" s="42">
        <f t="shared" si="2"/>
        <v>2</v>
      </c>
      <c r="L36" s="50">
        <v>1</v>
      </c>
      <c r="M36" s="50" t="s">
        <v>68</v>
      </c>
      <c r="N36" s="49">
        <f t="shared" si="3"/>
        <v>1</v>
      </c>
      <c r="O36" s="50" t="s">
        <v>73</v>
      </c>
    </row>
    <row r="37" spans="1:15" ht="18" x14ac:dyDescent="0.35">
      <c r="A37" s="83" t="s">
        <v>105</v>
      </c>
      <c r="B37" s="85"/>
      <c r="C37" s="50">
        <f t="shared" si="0"/>
        <v>1</v>
      </c>
      <c r="D37" s="90">
        <v>1</v>
      </c>
      <c r="E37" s="86" t="s">
        <v>88</v>
      </c>
      <c r="F37" s="45">
        <f t="shared" si="4"/>
        <v>0</v>
      </c>
      <c r="G37" s="50" t="s">
        <v>73</v>
      </c>
      <c r="I37" s="43" t="str">
        <f t="shared" si="1"/>
        <v>3/27/2025</v>
      </c>
      <c r="J37" s="70"/>
      <c r="K37" s="42">
        <f t="shared" si="2"/>
        <v>1</v>
      </c>
      <c r="L37" s="84">
        <v>1</v>
      </c>
      <c r="M37" s="86" t="s">
        <v>88</v>
      </c>
      <c r="N37" s="49">
        <f t="shared" si="3"/>
        <v>0</v>
      </c>
      <c r="O37" s="50" t="s">
        <v>73</v>
      </c>
    </row>
    <row r="38" spans="1:15" ht="18" x14ac:dyDescent="0.35">
      <c r="A38" s="70"/>
      <c r="B38" s="70"/>
      <c r="C38" s="87"/>
      <c r="D38" s="91"/>
      <c r="E38" s="88"/>
      <c r="F38" s="42"/>
      <c r="G38" s="89"/>
      <c r="I38" s="70"/>
      <c r="J38" s="70"/>
      <c r="K38" s="87"/>
      <c r="L38" s="89"/>
      <c r="M38" s="88"/>
      <c r="N38" s="42"/>
      <c r="O38" s="89"/>
    </row>
    <row r="39" spans="1:15" ht="18" x14ac:dyDescent="0.35">
      <c r="A39" s="70"/>
      <c r="B39" s="70"/>
      <c r="C39" s="87"/>
      <c r="D39" s="92"/>
      <c r="E39" s="88"/>
      <c r="F39" s="42"/>
      <c r="G39" s="88"/>
      <c r="I39" s="70"/>
      <c r="J39" s="70"/>
      <c r="K39" s="87"/>
      <c r="L39" s="88"/>
      <c r="M39" s="88"/>
      <c r="N39" s="42"/>
      <c r="O39" s="88"/>
    </row>
  </sheetData>
  <mergeCells count="12">
    <mergeCell ref="L11:M11"/>
    <mergeCell ref="O11:O12"/>
    <mergeCell ref="A4:G4"/>
    <mergeCell ref="I4:O4"/>
    <mergeCell ref="A5:G5"/>
    <mergeCell ref="I5:O5"/>
    <mergeCell ref="A11:A12"/>
    <mergeCell ref="B11:B12"/>
    <mergeCell ref="D11:E11"/>
    <mergeCell ref="G11:G12"/>
    <mergeCell ref="I11:I12"/>
    <mergeCell ref="J11:J12"/>
  </mergeCells>
  <phoneticPr fontId="10" type="noConversion"/>
  <pageMargins left="0.43" right="0.12" top="0.94488188976377963" bottom="0.74803149606299213" header="0.31496062992125984" footer="0.31496062992125984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PISA_2.19.25</vt:lpstr>
      <vt:lpstr>44 VARIED SB</vt:lpstr>
      <vt:lpstr>BOOKWARE</vt:lpstr>
      <vt:lpstr>STRATEGICSTEPS_MATH</vt:lpstr>
      <vt:lpstr>STRATEGICSTEPS_READING</vt:lpstr>
      <vt:lpstr>_HEALTH&amp;PE 5</vt:lpstr>
      <vt:lpstr>READING POWER</vt:lpstr>
      <vt:lpstr>EPP 5</vt:lpstr>
      <vt:lpstr>MAKABANSA 1</vt:lpstr>
      <vt:lpstr>'_HEALTH&amp;PE 5'!Print_Area</vt:lpstr>
      <vt:lpstr>'44 VARIED SB'!Print_Area</vt:lpstr>
      <vt:lpstr>BOOKWARE!Print_Area</vt:lpstr>
      <vt:lpstr>'EPP 5'!Print_Area</vt:lpstr>
      <vt:lpstr>'MAKABANSA 1'!Print_Area</vt:lpstr>
      <vt:lpstr>'READING POWER'!Print_Area</vt:lpstr>
      <vt:lpstr>STRATEGICSTEPS_MATH!Print_Area</vt:lpstr>
      <vt:lpstr>STRATEGICSTEPS_READING!Print_Area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2025-12-23T02:08:25Z</cp:lastPrinted>
  <dcterms:created xsi:type="dcterms:W3CDTF">2025-11-20T03:02:31Z</dcterms:created>
  <dcterms:modified xsi:type="dcterms:W3CDTF">2025-12-23T02:09:29Z</dcterms:modified>
</cp:coreProperties>
</file>